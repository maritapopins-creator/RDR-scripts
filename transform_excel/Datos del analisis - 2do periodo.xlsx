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481591_uab_cat/Documents/Documentos/Doctorado/UAB/Tesis/Cuarto Artículo/"/>
    </mc:Choice>
  </mc:AlternateContent>
  <xr:revisionPtr revIDLastSave="1315" documentId="8_{E738ADC3-5DA8-4DB6-9FE0-804D259BED4E}" xr6:coauthVersionLast="47" xr6:coauthVersionMax="47" xr10:uidLastSave="{D7F4F972-7FDB-406C-9886-1EF7666F4082}"/>
  <bookViews>
    <workbookView xWindow="-120" yWindow="-120" windowWidth="29040" windowHeight="15840" firstSheet="18" activeTab="25" xr2:uid="{BFAC033E-D34C-4242-975C-1BCA34D51C30}"/>
  </bookViews>
  <sheets>
    <sheet name="Muestra" sheetId="25" r:id="rId1"/>
    <sheet name="Tono" sheetId="1" r:id="rId2"/>
    <sheet name="Fuente" sheetId="2" r:id="rId3"/>
    <sheet name="Contrastación" sheetId="3" r:id="rId4"/>
    <sheet name="Opiniones " sheetId="4" r:id="rId5"/>
    <sheet name="Calumnias" sheetId="5" r:id="rId6"/>
    <sheet name="Veracidad" sheetId="6" r:id="rId7"/>
    <sheet name="Exactitud" sheetId="7" r:id="rId8"/>
    <sheet name="Actualidad" sheetId="8" r:id="rId9"/>
    <sheet name="Oportuna" sheetId="9" r:id="rId10"/>
    <sheet name="Alcance" sheetId="10" r:id="rId11"/>
    <sheet name="Evidencias" sheetId="11" r:id="rId12"/>
    <sheet name="Pruebas " sheetId="27" r:id="rId13"/>
    <sheet name="Transparencia" sheetId="12" r:id="rId14"/>
    <sheet name="Causalidad" sheetId="13" r:id="rId15"/>
    <sheet name="Contexto" sheetId="14" r:id="rId16"/>
    <sheet name="Neutralidad" sheetId="15" r:id="rId17"/>
    <sheet name="Idoneidad" sheetId="16" r:id="rId18"/>
    <sheet name="Protagonista" sheetId="17" r:id="rId19"/>
    <sheet name="Antagonista" sheetId="18" r:id="rId20"/>
    <sheet name="Enfasis narrativo" sheetId="19" r:id="rId21"/>
    <sheet name="Calificativos" sheetId="20" r:id="rId22"/>
    <sheet name="Enfasis visual" sheetId="21" r:id="rId23"/>
    <sheet name="Construccion otro" sheetId="22" r:id="rId24"/>
    <sheet name="Invisibilización otro" sheetId="23" r:id="rId25"/>
    <sheet name="Enemigo" sheetId="24" r:id="rId26"/>
  </sheets>
  <definedNames>
    <definedName name="_xlchart.v2.0" hidden="1">'Invisibilización otro'!$A$4</definedName>
    <definedName name="_xlchart.v2.1" hidden="1">'Invisibilización otro'!$A$5</definedName>
    <definedName name="_xlchart.v2.2" hidden="1">'Invisibilización otro'!$B$3:$F$3</definedName>
    <definedName name="_xlchart.v2.3" hidden="1">'Invisibilización otro'!$B$4:$F$4</definedName>
    <definedName name="_xlchart.v2.4" hidden="1">'Invisibilización otro'!$B$5:$F$5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3" l="1"/>
  <c r="G11" i="23"/>
  <c r="G10" i="23"/>
  <c r="G6" i="23"/>
  <c r="G5" i="23"/>
  <c r="G4" i="23"/>
  <c r="F10" i="23"/>
  <c r="D11" i="23"/>
  <c r="D10" i="23"/>
  <c r="D12" i="23" s="1"/>
  <c r="I6" i="23"/>
  <c r="H11" i="23" s="1"/>
  <c r="H6" i="23"/>
  <c r="F6" i="23"/>
  <c r="E6" i="23"/>
  <c r="D6" i="23"/>
  <c r="C6" i="23"/>
  <c r="B6" i="23"/>
  <c r="E11" i="22"/>
  <c r="E10" i="22"/>
  <c r="D11" i="22"/>
  <c r="D10" i="22"/>
  <c r="C11" i="22"/>
  <c r="C10" i="22"/>
  <c r="B11" i="22"/>
  <c r="B12" i="22" s="1"/>
  <c r="B10" i="22"/>
  <c r="E6" i="22"/>
  <c r="D6" i="22"/>
  <c r="C6" i="22"/>
  <c r="B6" i="22"/>
  <c r="J11" i="19"/>
  <c r="J10" i="19"/>
  <c r="I11" i="19"/>
  <c r="I10" i="19"/>
  <c r="H11" i="19"/>
  <c r="H10" i="19"/>
  <c r="G11" i="19"/>
  <c r="G10" i="19"/>
  <c r="F11" i="19"/>
  <c r="F10" i="19"/>
  <c r="E11" i="19"/>
  <c r="E10" i="19"/>
  <c r="D11" i="19"/>
  <c r="D10" i="19"/>
  <c r="C11" i="19"/>
  <c r="C10" i="19"/>
  <c r="C12" i="19" s="1"/>
  <c r="B11" i="19"/>
  <c r="B10" i="19"/>
  <c r="J6" i="19"/>
  <c r="I6" i="19"/>
  <c r="H6" i="19"/>
  <c r="G6" i="19"/>
  <c r="F6" i="19"/>
  <c r="E6" i="19"/>
  <c r="D6" i="19"/>
  <c r="C6" i="19"/>
  <c r="B6" i="19"/>
  <c r="F11" i="18"/>
  <c r="F10" i="18"/>
  <c r="F9" i="18"/>
  <c r="F6" i="18"/>
  <c r="G6" i="18"/>
  <c r="H6" i="18"/>
  <c r="G10" i="18" s="1"/>
  <c r="E6" i="18"/>
  <c r="D6" i="18"/>
  <c r="C6" i="18"/>
  <c r="B6" i="18"/>
  <c r="AJ18" i="17"/>
  <c r="AJ17" i="17"/>
  <c r="AI18" i="17"/>
  <c r="AI17" i="17"/>
  <c r="AH18" i="17"/>
  <c r="AH17" i="17"/>
  <c r="AH19" i="17" s="1"/>
  <c r="AG18" i="17"/>
  <c r="AG17" i="17"/>
  <c r="AF18" i="17"/>
  <c r="AF19" i="17" s="1"/>
  <c r="AF17" i="17"/>
  <c r="AE18" i="17"/>
  <c r="AE17" i="17"/>
  <c r="AD18" i="17"/>
  <c r="AD17" i="17"/>
  <c r="AC18" i="17"/>
  <c r="AC17" i="17"/>
  <c r="AC19" i="17" s="1"/>
  <c r="AB18" i="17"/>
  <c r="AB17" i="17"/>
  <c r="AA18" i="17"/>
  <c r="AA17" i="17"/>
  <c r="Z18" i="17"/>
  <c r="Z19" i="17" s="1"/>
  <c r="Z17" i="17"/>
  <c r="Y18" i="17"/>
  <c r="Y17" i="17"/>
  <c r="X18" i="17"/>
  <c r="X17" i="17"/>
  <c r="AA19" i="17"/>
  <c r="AG14" i="17"/>
  <c r="AE14" i="17"/>
  <c r="AD14" i="17"/>
  <c r="AC14" i="17"/>
  <c r="AB14" i="17"/>
  <c r="AA14" i="17"/>
  <c r="Z14" i="17"/>
  <c r="AI14" i="17"/>
  <c r="AH14" i="17"/>
  <c r="AF14" i="17"/>
  <c r="Y14" i="17"/>
  <c r="AJ14" i="17"/>
  <c r="X14" i="17"/>
  <c r="AS6" i="17"/>
  <c r="AR6" i="17"/>
  <c r="AQ6" i="17"/>
  <c r="AP6" i="17"/>
  <c r="AO6" i="17"/>
  <c r="AN6" i="17"/>
  <c r="AM6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E27" i="11"/>
  <c r="E26" i="11"/>
  <c r="D27" i="11"/>
  <c r="D28" i="11" s="1"/>
  <c r="D26" i="11"/>
  <c r="C27" i="11"/>
  <c r="C26" i="11"/>
  <c r="B27" i="11"/>
  <c r="B26" i="11"/>
  <c r="E22" i="11"/>
  <c r="D22" i="11"/>
  <c r="C22" i="11"/>
  <c r="B22" i="11"/>
  <c r="F6" i="11"/>
  <c r="E7" i="11"/>
  <c r="D7" i="11"/>
  <c r="C7" i="11"/>
  <c r="B7" i="11"/>
  <c r="D10" i="5"/>
  <c r="C11" i="5"/>
  <c r="B11" i="5"/>
  <c r="E7" i="5"/>
  <c r="D11" i="5" s="1"/>
  <c r="D7" i="5"/>
  <c r="C7" i="5"/>
  <c r="B7" i="5"/>
  <c r="E26" i="4"/>
  <c r="D26" i="4"/>
  <c r="C26" i="4"/>
  <c r="B26" i="4"/>
  <c r="E25" i="4"/>
  <c r="D25" i="4"/>
  <c r="C25" i="4"/>
  <c r="B25" i="4"/>
  <c r="E24" i="4"/>
  <c r="D24" i="4"/>
  <c r="C24" i="4"/>
  <c r="B24" i="4"/>
  <c r="E20" i="4"/>
  <c r="D20" i="4"/>
  <c r="C20" i="4"/>
  <c r="B20" i="4"/>
  <c r="F24" i="16"/>
  <c r="F25" i="16" s="1"/>
  <c r="F23" i="16"/>
  <c r="E24" i="16"/>
  <c r="E23" i="16"/>
  <c r="D24" i="16"/>
  <c r="D19" i="16"/>
  <c r="D23" i="16"/>
  <c r="C24" i="16"/>
  <c r="C23" i="16"/>
  <c r="B24" i="16"/>
  <c r="B23" i="16"/>
  <c r="B25" i="16" s="1"/>
  <c r="E25" i="16"/>
  <c r="D25" i="16"/>
  <c r="F19" i="16"/>
  <c r="E19" i="16"/>
  <c r="C19" i="16"/>
  <c r="B19" i="16"/>
  <c r="C22" i="14"/>
  <c r="D22" i="14"/>
  <c r="E22" i="14"/>
  <c r="E21" i="14"/>
  <c r="E20" i="14"/>
  <c r="D21" i="14"/>
  <c r="D20" i="14"/>
  <c r="C21" i="14"/>
  <c r="C20" i="14"/>
  <c r="B21" i="14"/>
  <c r="B20" i="14"/>
  <c r="E17" i="14"/>
  <c r="D17" i="14"/>
  <c r="C17" i="14"/>
  <c r="B17" i="14"/>
  <c r="D8" i="13"/>
  <c r="D12" i="13" s="1"/>
  <c r="C8" i="13"/>
  <c r="B8" i="13"/>
  <c r="D18" i="2"/>
  <c r="D10" i="15"/>
  <c r="C10" i="15"/>
  <c r="C7" i="15"/>
  <c r="D7" i="15"/>
  <c r="E7" i="15"/>
  <c r="D11" i="15" s="1"/>
  <c r="C24" i="12"/>
  <c r="B24" i="12"/>
  <c r="G20" i="12"/>
  <c r="D25" i="12" s="1"/>
  <c r="F20" i="12"/>
  <c r="E20" i="12"/>
  <c r="D20" i="12"/>
  <c r="C20" i="12"/>
  <c r="D6" i="7"/>
  <c r="C6" i="7"/>
  <c r="E6" i="7"/>
  <c r="C10" i="7" s="1"/>
  <c r="C9" i="7"/>
  <c r="D7" i="6"/>
  <c r="C7" i="6"/>
  <c r="E7" i="6"/>
  <c r="D11" i="6" s="1"/>
  <c r="C10" i="6"/>
  <c r="D29" i="10"/>
  <c r="C29" i="10"/>
  <c r="E28" i="10"/>
  <c r="E27" i="10"/>
  <c r="D28" i="10"/>
  <c r="D27" i="10"/>
  <c r="C28" i="10"/>
  <c r="C27" i="10"/>
  <c r="E23" i="8"/>
  <c r="D23" i="8"/>
  <c r="C23" i="8"/>
  <c r="D21" i="8"/>
  <c r="C21" i="8"/>
  <c r="E21" i="8" s="1"/>
  <c r="D9" i="8"/>
  <c r="C9" i="8"/>
  <c r="B9" i="8"/>
  <c r="C7" i="8"/>
  <c r="B7" i="8"/>
  <c r="D7" i="8" s="1"/>
  <c r="L8" i="3"/>
  <c r="K8" i="3"/>
  <c r="J8" i="3"/>
  <c r="M7" i="3"/>
  <c r="M6" i="3"/>
  <c r="M8" i="3" s="1"/>
  <c r="M9" i="3" s="1"/>
  <c r="K6" i="3"/>
  <c r="M5" i="3"/>
  <c r="K5" i="3"/>
  <c r="M4" i="3"/>
  <c r="K4" i="3"/>
  <c r="E8" i="3"/>
  <c r="E7" i="3"/>
  <c r="E6" i="3"/>
  <c r="E5" i="3"/>
  <c r="E9" i="3" s="1"/>
  <c r="E10" i="3" s="1"/>
  <c r="C7" i="3"/>
  <c r="C6" i="3"/>
  <c r="C5" i="3"/>
  <c r="C9" i="3" s="1"/>
  <c r="D9" i="3"/>
  <c r="B9" i="3"/>
  <c r="I20" i="2"/>
  <c r="H20" i="2"/>
  <c r="G20" i="2"/>
  <c r="F20" i="2"/>
  <c r="E20" i="2"/>
  <c r="D20" i="2"/>
  <c r="C20" i="2"/>
  <c r="B20" i="2"/>
  <c r="I18" i="2"/>
  <c r="H18" i="2"/>
  <c r="G18" i="2"/>
  <c r="F18" i="2"/>
  <c r="E18" i="2"/>
  <c r="C18" i="2"/>
  <c r="B18" i="2"/>
  <c r="E8" i="1"/>
  <c r="D8" i="1"/>
  <c r="C8" i="1"/>
  <c r="B8" i="1"/>
  <c r="E6" i="1"/>
  <c r="D6" i="1"/>
  <c r="C6" i="1"/>
  <c r="B6" i="1"/>
  <c r="E4" i="1"/>
  <c r="D4" i="1"/>
  <c r="C4" i="1"/>
  <c r="B4" i="1"/>
  <c r="B10" i="23" l="1"/>
  <c r="B11" i="23"/>
  <c r="C10" i="23"/>
  <c r="C11" i="23"/>
  <c r="E10" i="23"/>
  <c r="E11" i="23"/>
  <c r="F11" i="23"/>
  <c r="H10" i="23"/>
  <c r="H12" i="23" s="1"/>
  <c r="F12" i="23"/>
  <c r="E12" i="23"/>
  <c r="C12" i="23"/>
  <c r="E12" i="22"/>
  <c r="D12" i="22"/>
  <c r="C12" i="22"/>
  <c r="J12" i="19"/>
  <c r="I12" i="19"/>
  <c r="H12" i="19"/>
  <c r="G12" i="19"/>
  <c r="F12" i="19"/>
  <c r="E12" i="19"/>
  <c r="D12" i="19"/>
  <c r="B12" i="19"/>
  <c r="B9" i="18"/>
  <c r="B10" i="18"/>
  <c r="B11" i="18" s="1"/>
  <c r="C9" i="18"/>
  <c r="C10" i="18"/>
  <c r="D9" i="18"/>
  <c r="D10" i="18"/>
  <c r="E9" i="18"/>
  <c r="E10" i="18"/>
  <c r="E11" i="18" s="1"/>
  <c r="G9" i="18"/>
  <c r="G11" i="18" s="1"/>
  <c r="D11" i="18"/>
  <c r="AJ19" i="17"/>
  <c r="AI19" i="17"/>
  <c r="AG19" i="17"/>
  <c r="AE19" i="17"/>
  <c r="AD19" i="17"/>
  <c r="AB19" i="17"/>
  <c r="Y19" i="17"/>
  <c r="X19" i="17"/>
  <c r="E28" i="11"/>
  <c r="C28" i="11"/>
  <c r="B28" i="11"/>
  <c r="F7" i="11"/>
  <c r="B11" i="11"/>
  <c r="D11" i="11"/>
  <c r="B10" i="11"/>
  <c r="E10" i="11"/>
  <c r="E12" i="11" s="1"/>
  <c r="D10" i="11"/>
  <c r="D12" i="11" s="1"/>
  <c r="E11" i="11"/>
  <c r="C11" i="11"/>
  <c r="C10" i="11"/>
  <c r="C12" i="11" s="1"/>
  <c r="E11" i="5"/>
  <c r="D12" i="5"/>
  <c r="B10" i="5"/>
  <c r="C10" i="5"/>
  <c r="C12" i="5" s="1"/>
  <c r="C25" i="16"/>
  <c r="B11" i="13"/>
  <c r="B13" i="13" s="1"/>
  <c r="B12" i="13"/>
  <c r="C12" i="13"/>
  <c r="D11" i="13"/>
  <c r="D13" i="13"/>
  <c r="C11" i="13"/>
  <c r="C13" i="13" s="1"/>
  <c r="D26" i="12"/>
  <c r="C25" i="12"/>
  <c r="D24" i="12"/>
  <c r="E26" i="12" s="1"/>
  <c r="E24" i="12"/>
  <c r="F24" i="12"/>
  <c r="B25" i="12"/>
  <c r="F25" i="12" s="1"/>
  <c r="D12" i="15"/>
  <c r="E10" i="15"/>
  <c r="E12" i="15" s="1"/>
  <c r="C11" i="15"/>
  <c r="E11" i="15" s="1"/>
  <c r="C11" i="7"/>
  <c r="D9" i="7"/>
  <c r="E9" i="7" s="1"/>
  <c r="D10" i="7"/>
  <c r="E10" i="7" s="1"/>
  <c r="D10" i="6"/>
  <c r="D12" i="6" s="1"/>
  <c r="C11" i="6"/>
  <c r="E11" i="6" s="1"/>
  <c r="J18" i="2"/>
  <c r="J20" i="2"/>
  <c r="I11" i="23" l="1"/>
  <c r="B12" i="23"/>
  <c r="I10" i="23"/>
  <c r="C11" i="18"/>
  <c r="B12" i="11"/>
  <c r="F10" i="11"/>
  <c r="F11" i="11"/>
  <c r="B12" i="5"/>
  <c r="E10" i="5"/>
  <c r="E12" i="5" s="1"/>
  <c r="G26" i="12"/>
  <c r="C26" i="12"/>
  <c r="C12" i="15"/>
  <c r="E11" i="7"/>
  <c r="D11" i="7"/>
  <c r="E10" i="6"/>
  <c r="E12" i="6" s="1"/>
  <c r="C12" i="6"/>
  <c r="B9" i="2"/>
  <c r="C6" i="2"/>
  <c r="C9" i="2" s="1"/>
  <c r="D9" i="2"/>
  <c r="D6" i="2"/>
  <c r="E6" i="2"/>
  <c r="E9" i="2" s="1"/>
  <c r="F6" i="2"/>
  <c r="F9" i="2" s="1"/>
  <c r="G6" i="2"/>
  <c r="G9" i="2" s="1"/>
  <c r="H6" i="2"/>
  <c r="H9" i="2" s="1"/>
  <c r="I6" i="2"/>
  <c r="I9" i="2" s="1"/>
  <c r="H8" i="2"/>
  <c r="I8" i="2"/>
  <c r="C8" i="2"/>
  <c r="B8" i="2"/>
  <c r="J8" i="2" s="1"/>
  <c r="D8" i="2"/>
  <c r="E8" i="2"/>
  <c r="F8" i="2"/>
  <c r="B6" i="2"/>
  <c r="J6" i="2"/>
  <c r="G8" i="2"/>
  <c r="I12" i="23" l="1"/>
  <c r="F12" i="11"/>
  <c r="B22" i="14"/>
  <c r="F26" i="12"/>
</calcChain>
</file>

<file path=xl/sharedStrings.xml><?xml version="1.0" encoding="utf-8"?>
<sst xmlns="http://schemas.openxmlformats.org/spreadsheetml/2006/main" count="979" uniqueCount="373">
  <si>
    <t>Nombre del medio</t>
  </si>
  <si>
    <t>Ecuavisa</t>
  </si>
  <si>
    <t>Recuento</t>
  </si>
  <si>
    <t>% Fila</t>
  </si>
  <si>
    <t>3.0%</t>
  </si>
  <si>
    <t>100.0%</t>
  </si>
  <si>
    <t>% Columna</t>
  </si>
  <si>
    <t>32.3%</t>
  </si>
  <si>
    <t>34.3%</t>
  </si>
  <si>
    <t>% Total</t>
  </si>
  <si>
    <t>1.0%</t>
  </si>
  <si>
    <t>22.5%</t>
  </si>
  <si>
    <t>Teleamazonas</t>
  </si>
  <si>
    <t>2.9%</t>
  </si>
  <si>
    <t>24.3%</t>
  </si>
  <si>
    <t>34.1%</t>
  </si>
  <si>
    <t>48.9%</t>
  </si>
  <si>
    <t>1.4%</t>
  </si>
  <si>
    <t>11.9%</t>
  </si>
  <si>
    <t>Total</t>
  </si>
  <si>
    <t>2.7%</t>
  </si>
  <si>
    <t>8.1%</t>
  </si>
  <si>
    <t>2.1%</t>
  </si>
  <si>
    <t>.9%</t>
  </si>
  <si>
    <t>4.5%</t>
  </si>
  <si>
    <t>1.2%</t>
  </si>
  <si>
    <t>.0%</t>
  </si>
  <si>
    <t>.3%</t>
  </si>
  <si>
    <t>4.8%</t>
  </si>
  <si>
    <t>39.2%</t>
  </si>
  <si>
    <t>33.3%</t>
  </si>
  <si>
    <t>42.9%</t>
  </si>
  <si>
    <t>50.0%</t>
  </si>
  <si>
    <t>3.3%</t>
  </si>
  <si>
    <t>.8%</t>
  </si>
  <si>
    <t>2.8%</t>
  </si>
  <si>
    <t>1.8%</t>
  </si>
  <si>
    <t>.7%</t>
  </si>
  <si>
    <t>1.5%</t>
  </si>
  <si>
    <t>.4%</t>
  </si>
  <si>
    <t>.1%</t>
  </si>
  <si>
    <t>1.6%</t>
  </si>
  <si>
    <t>3.6%</t>
  </si>
  <si>
    <t>4.6%</t>
  </si>
  <si>
    <t>2.3%</t>
  </si>
  <si>
    <t>.2%</t>
  </si>
  <si>
    <t>1.7%</t>
  </si>
  <si>
    <t>1.9%</t>
  </si>
  <si>
    <t>6.1%</t>
  </si>
  <si>
    <t>23.4%</t>
  </si>
  <si>
    <t>25.0%</t>
  </si>
  <si>
    <t>12.5%</t>
  </si>
  <si>
    <t>28.6%</t>
  </si>
  <si>
    <t>.5%</t>
  </si>
  <si>
    <t>1.1%</t>
  </si>
  <si>
    <t>Balance de los hechos</t>
  </si>
  <si>
    <t>Balance de las fuentes de información</t>
  </si>
  <si>
    <t>Solo muestra una versión de los hechos</t>
  </si>
  <si>
    <t>No se registra</t>
  </si>
  <si>
    <t>79.9%</t>
  </si>
  <si>
    <t>5.7%</t>
  </si>
  <si>
    <t>.6%</t>
  </si>
  <si>
    <t>39.1%</t>
  </si>
  <si>
    <t>Nombre del medio × Distinción entre hechos, suposiciones u opiniones</t>
  </si>
  <si>
    <t>Si existe distinción</t>
  </si>
  <si>
    <t>No existe distinción</t>
  </si>
  <si>
    <t>No aplica</t>
  </si>
  <si>
    <t>4.00</t>
  </si>
  <si>
    <t>6.0%</t>
  </si>
  <si>
    <t>12.6%</t>
  </si>
  <si>
    <t>81.1%</t>
  </si>
  <si>
    <t>35.1%</t>
  </si>
  <si>
    <t>33.1%</t>
  </si>
  <si>
    <t>4.3%</t>
  </si>
  <si>
    <t>27.8%</t>
  </si>
  <si>
    <t>13.0%</t>
  </si>
  <si>
    <t>83.4%</t>
  </si>
  <si>
    <t>29.8%</t>
  </si>
  <si>
    <t>48.8%</t>
  </si>
  <si>
    <t>50.4%</t>
  </si>
  <si>
    <t>6.4%</t>
  </si>
  <si>
    <t>40.8%</t>
  </si>
  <si>
    <t>Nombre del medio × Difusión de la calumnia, difamación y acusaciones infundadas</t>
  </si>
  <si>
    <t>Si existe</t>
  </si>
  <si>
    <t>No existe</t>
  </si>
  <si>
    <t>1.3%</t>
  </si>
  <si>
    <t>Nombre del medio × Veracidad</t>
  </si>
  <si>
    <t>Si, se trata de un acontecimiento lo que da origen a la noticia</t>
  </si>
  <si>
    <t>No, no se trata de un acontecimiento lo que da origen a la noticia</t>
  </si>
  <si>
    <t>3.00</t>
  </si>
  <si>
    <t>7.00</t>
  </si>
  <si>
    <t>34.6%</t>
  </si>
  <si>
    <t>48.1%</t>
  </si>
  <si>
    <t>Nombre del medio × Exactitud</t>
  </si>
  <si>
    <t>Sí, el titulo corresponde al texto de la noticia</t>
  </si>
  <si>
    <t>No, el titulo no corresponde al texto de la noticia</t>
  </si>
  <si>
    <t>34.0%</t>
  </si>
  <si>
    <t>Nombre del medio × Actualidad</t>
  </si>
  <si>
    <t>Si, es actual</t>
  </si>
  <si>
    <t>No, no es actual</t>
  </si>
  <si>
    <t>34.2%</t>
  </si>
  <si>
    <t>33.9%</t>
  </si>
  <si>
    <t>Nombre del medio × Oportuna</t>
  </si>
  <si>
    <t>Si, es oportuna</t>
  </si>
  <si>
    <t>No, no es oportuna</t>
  </si>
  <si>
    <t>99.4%</t>
  </si>
  <si>
    <t>99.6%</t>
  </si>
  <si>
    <t>49.0%</t>
  </si>
  <si>
    <t>Nombre del medio × Alcance</t>
  </si>
  <si>
    <t>Si, afecta al desarrollo de la sociedad</t>
  </si>
  <si>
    <t>No, no afecta al desarrollo de la sociedad</t>
  </si>
  <si>
    <t>97.3%</t>
  </si>
  <si>
    <t>96.6%</t>
  </si>
  <si>
    <t>48.7%</t>
  </si>
  <si>
    <t>53.8%</t>
  </si>
  <si>
    <t>47.3%</t>
  </si>
  <si>
    <t>Nombre del medio × Presentación de pruebas sobre afirmaciones</t>
  </si>
  <si>
    <t>Si presenta evidencias</t>
  </si>
  <si>
    <t>No presenta evidencias</t>
  </si>
  <si>
    <t>Presenta evidencias sin fuente y de dudosa índole</t>
  </si>
  <si>
    <t>6.00</t>
  </si>
  <si>
    <t>78.7%</t>
  </si>
  <si>
    <t>17.7%</t>
  </si>
  <si>
    <t>41.4%</t>
  </si>
  <si>
    <t>26.9%</t>
  </si>
  <si>
    <t>79.2%</t>
  </si>
  <si>
    <t>17.4%</t>
  </si>
  <si>
    <t>2.5%</t>
  </si>
  <si>
    <t>49.3%</t>
  </si>
  <si>
    <t>47.7%</t>
  </si>
  <si>
    <t>38.8%</t>
  </si>
  <si>
    <t>8.5%</t>
  </si>
  <si>
    <t>Nombre del medio × Transparencia</t>
  </si>
  <si>
    <t>Si, cita una fuente</t>
  </si>
  <si>
    <t>No, no cita fuentes</t>
  </si>
  <si>
    <t>Si, cita de 2 a 5 fuentes</t>
  </si>
  <si>
    <t>Si, cita más de 5 fuentes</t>
  </si>
  <si>
    <t>94.3%</t>
  </si>
  <si>
    <t>3.9%</t>
  </si>
  <si>
    <t>35.7%</t>
  </si>
  <si>
    <t>20.6%</t>
  </si>
  <si>
    <t>21.4%</t>
  </si>
  <si>
    <t>87.4%</t>
  </si>
  <si>
    <t>8.8%</t>
  </si>
  <si>
    <t>3.8%</t>
  </si>
  <si>
    <t>47.2%</t>
  </si>
  <si>
    <t>66.7%</t>
  </si>
  <si>
    <t>64.3%</t>
  </si>
  <si>
    <t>42.8%</t>
  </si>
  <si>
    <t>Nombre del medio × Causalidad</t>
  </si>
  <si>
    <t>Si, explica las causas de la información</t>
  </si>
  <si>
    <t>No explica las causas de la información</t>
  </si>
  <si>
    <t>19.2%</t>
  </si>
  <si>
    <t>6.6%</t>
  </si>
  <si>
    <t>Nombre del medio × ContextoInformativo</t>
  </si>
  <si>
    <t>Si, refiere a los antencedentes de la información</t>
  </si>
  <si>
    <t>No, no se refiere a los antencedentes de la información</t>
  </si>
  <si>
    <t>Recrea un contexto asociado pero manipulado</t>
  </si>
  <si>
    <t>75.4%</t>
  </si>
  <si>
    <t>32.4%</t>
  </si>
  <si>
    <t>25.8%</t>
  </si>
  <si>
    <t>8.0%</t>
  </si>
  <si>
    <t>80.7%</t>
  </si>
  <si>
    <t>18.9%</t>
  </si>
  <si>
    <t>49.5%</t>
  </si>
  <si>
    <t>47.1%</t>
  </si>
  <si>
    <t>39.5%</t>
  </si>
  <si>
    <t>9.2%</t>
  </si>
  <si>
    <t>Nombre del medio × Neutralidad</t>
  </si>
  <si>
    <t>Si, la noticia expresa neutralidad</t>
  </si>
  <si>
    <t>No, la noticia es parcializada</t>
  </si>
  <si>
    <t>27.4%</t>
  </si>
  <si>
    <t>9.4%</t>
  </si>
  <si>
    <t>Nombre del medio × Idoneidad</t>
  </si>
  <si>
    <t>Si, las imagenes y los titulares corresponden a la información</t>
  </si>
  <si>
    <t>No, las imagenes y los titulares no corresponden a la información</t>
  </si>
  <si>
    <t>Las imagenes o los titulares corresponden a una versión de la realidad</t>
  </si>
  <si>
    <t>No hay imagenes que respaldan los hechos</t>
  </si>
  <si>
    <t>89.5%</t>
  </si>
  <si>
    <t>7.5%</t>
  </si>
  <si>
    <t>34.4%</t>
  </si>
  <si>
    <t>37.0%</t>
  </si>
  <si>
    <t>33.8%</t>
  </si>
  <si>
    <t>30.7%</t>
  </si>
  <si>
    <t>2.6%</t>
  </si>
  <si>
    <t>88.7%</t>
  </si>
  <si>
    <t>9.0%</t>
  </si>
  <si>
    <t>22.2%</t>
  </si>
  <si>
    <t>58.1%</t>
  </si>
  <si>
    <t>43.4%</t>
  </si>
  <si>
    <t>4.4%</t>
  </si>
  <si>
    <t>Leonidas Iza, Líder de la CONAIE</t>
  </si>
  <si>
    <t>Francisco Jimenez, Ministro de Gobierno</t>
  </si>
  <si>
    <t>Homero Castanier, viceministro de Gobierno</t>
  </si>
  <si>
    <t>Mireya Pazmiño - Asambleista Pachakutic</t>
  </si>
  <si>
    <t>Humberto Salazar, Esquel</t>
  </si>
  <si>
    <t>Pablo Celi Contralor2019</t>
  </si>
  <si>
    <t>Cinthya Viteri</t>
  </si>
  <si>
    <t>Jaime Nebot o el PSC</t>
  </si>
  <si>
    <t>Guillermo Lasso o El Gobierno Nacional</t>
  </si>
  <si>
    <t>Ninguno</t>
  </si>
  <si>
    <t>María Paula Romo</t>
  </si>
  <si>
    <t>Fausto Salinas - Comandante Gnral Policia Nacional</t>
  </si>
  <si>
    <t>Gary Espinoza - FENOCIN</t>
  </si>
  <si>
    <t>Patricio Carrillo, ministro del interior</t>
  </si>
  <si>
    <t>Juan Carlos Holguin - Canciller</t>
  </si>
  <si>
    <t>Giovanni Atariguana</t>
  </si>
  <si>
    <t>Luis Pachala Secretario de Pueblos y Nacionalidades</t>
  </si>
  <si>
    <t>Santiago Guarderas alcalde de Quito</t>
  </si>
  <si>
    <t>CONAIE, FENOCIN, CONFENAIE Dirigentes</t>
  </si>
  <si>
    <t>Poder mediático - Columnistas, periodistas, cineastas</t>
  </si>
  <si>
    <t>Policia Nacional FFAA Militares</t>
  </si>
  <si>
    <t>Italo Cedeno - Petroecuador</t>
  </si>
  <si>
    <t>Ministro de Estado o asambleistas del bloque</t>
  </si>
  <si>
    <t>Floricultores, empresarios, bananeros, exportadores</t>
  </si>
  <si>
    <t>representantes de asociaciones, gremios, sindicatos, sectores</t>
  </si>
  <si>
    <t>Autoridades locales - alcaldes, gobernadores, prefectos</t>
  </si>
  <si>
    <t>Bernardo Manzano, Ministro de agricultura</t>
  </si>
  <si>
    <t>Ivan Correa</t>
  </si>
  <si>
    <t>Ciudadanía movilizada, estudiantes</t>
  </si>
  <si>
    <t>Diego Ordoñez</t>
  </si>
  <si>
    <t>Juan Zapata ECU911</t>
  </si>
  <si>
    <t>Fausto Cobo</t>
  </si>
  <si>
    <t>Docentes, especialistas</t>
  </si>
  <si>
    <t>Felipe Rodriguez</t>
  </si>
  <si>
    <t>Asambleístas Opocisión</t>
  </si>
  <si>
    <t>Carlos Rabascal</t>
  </si>
  <si>
    <t>Ciudadanos contra las protestas</t>
  </si>
  <si>
    <t>Iglesia</t>
  </si>
  <si>
    <t>Reps Casa de la cultura</t>
  </si>
  <si>
    <t>Luis Lara, Min Defensa</t>
  </si>
  <si>
    <t>Ciudadanos afectados por la protesta</t>
  </si>
  <si>
    <t>Actores en diálogo</t>
  </si>
  <si>
    <t>Org DDHH</t>
  </si>
  <si>
    <t>4.2%</t>
  </si>
  <si>
    <t>16.7%</t>
  </si>
  <si>
    <t>35.3%</t>
  </si>
  <si>
    <t>52.0%</t>
  </si>
  <si>
    <t>5.2%</t>
  </si>
  <si>
    <t>3.4%</t>
  </si>
  <si>
    <t>4.0%</t>
  </si>
  <si>
    <t>16.0%</t>
  </si>
  <si>
    <t>Conaie o ciudadanía movilizada</t>
  </si>
  <si>
    <t>Guillermo Lasso o el Gobierno Nacional</t>
  </si>
  <si>
    <t>51.2%</t>
  </si>
  <si>
    <t>36.8%</t>
  </si>
  <si>
    <t>18.8%</t>
  </si>
  <si>
    <t>28.4%</t>
  </si>
  <si>
    <t>Afectación Económica</t>
  </si>
  <si>
    <t>Afectación Infraestructura</t>
  </si>
  <si>
    <t>Afectación Democrática</t>
  </si>
  <si>
    <t>Informativo</t>
  </si>
  <si>
    <t>Normalidad</t>
  </si>
  <si>
    <t>87.5%</t>
  </si>
  <si>
    <t>Nombre del medio × Calificativos Recurrentes</t>
  </si>
  <si>
    <t>Pacífico</t>
  </si>
  <si>
    <t>Ciudadano de bien</t>
  </si>
  <si>
    <t>Violento</t>
  </si>
  <si>
    <t>Garantía de derechos</t>
  </si>
  <si>
    <t>Gobierno que no atiende demanda ciudadana</t>
  </si>
  <si>
    <t>Desestabilizador</t>
  </si>
  <si>
    <t>Deslegitima la protesta social</t>
  </si>
  <si>
    <t>Sentir ciudadano</t>
  </si>
  <si>
    <t>Intensificación de las protestas</t>
  </si>
  <si>
    <t>Desabastecimiento</t>
  </si>
  <si>
    <t>Conaie que no atiende dialogo</t>
  </si>
  <si>
    <t>Represión policial o violencia institucional</t>
  </si>
  <si>
    <t>Estado de excepción</t>
  </si>
  <si>
    <t>Gobierno amparado por las FFAA</t>
  </si>
  <si>
    <t>Intento de saqueos o saqueos perpetuados</t>
  </si>
  <si>
    <t>tregua o llamado a la paz</t>
  </si>
  <si>
    <t>Recuento daños o descesos</t>
  </si>
  <si>
    <t>Uso de armas artesanales, caseras o ancestrales</t>
  </si>
  <si>
    <t>Tergiversación de la verdad</t>
  </si>
  <si>
    <t>8.7%</t>
  </si>
  <si>
    <t>20.4%</t>
  </si>
  <si>
    <t>9.9%</t>
  </si>
  <si>
    <t>33.6%</t>
  </si>
  <si>
    <t>25.9%</t>
  </si>
  <si>
    <t>43.3%</t>
  </si>
  <si>
    <t>39.0%</t>
  </si>
  <si>
    <t>30.0%</t>
  </si>
  <si>
    <t>38.4%</t>
  </si>
  <si>
    <t>34.9%</t>
  </si>
  <si>
    <t>41.0%</t>
  </si>
  <si>
    <t>31.6%</t>
  </si>
  <si>
    <t>7.7%</t>
  </si>
  <si>
    <t>7.0%</t>
  </si>
  <si>
    <t>16.1%</t>
  </si>
  <si>
    <t>53.6%</t>
  </si>
  <si>
    <t>19.5%</t>
  </si>
  <si>
    <t>18.0%</t>
  </si>
  <si>
    <t>52.3%</t>
  </si>
  <si>
    <t>60.9%</t>
  </si>
  <si>
    <t>12.0%</t>
  </si>
  <si>
    <t>68.8%</t>
  </si>
  <si>
    <t>61.9%</t>
  </si>
  <si>
    <t>68.4%</t>
  </si>
  <si>
    <t>6.2%</t>
  </si>
  <si>
    <t>7.9%</t>
  </si>
  <si>
    <t>Nombre del medio × Énfasis Visual</t>
  </si>
  <si>
    <t>Movilización organizada</t>
  </si>
  <si>
    <t>Movilización caótica</t>
  </si>
  <si>
    <t>Imagen descontextualizada</t>
  </si>
  <si>
    <t>Imagen alusiva</t>
  </si>
  <si>
    <t>Imagen tendenciosa</t>
  </si>
  <si>
    <t>otra</t>
  </si>
  <si>
    <t>Represión policial</t>
  </si>
  <si>
    <t>Imagen no corrobora la narrativa</t>
  </si>
  <si>
    <t>83.5%</t>
  </si>
  <si>
    <t>43.1%</t>
  </si>
  <si>
    <t>36.1%</t>
  </si>
  <si>
    <t>6.5%</t>
  </si>
  <si>
    <t>80.9%</t>
  </si>
  <si>
    <t>80.6%</t>
  </si>
  <si>
    <t>39.6%</t>
  </si>
  <si>
    <t>2.2%</t>
  </si>
  <si>
    <t>Hace referencia a ELLOS</t>
  </si>
  <si>
    <t>Hace referencia a NOSOTROS</t>
  </si>
  <si>
    <t>No se registran</t>
  </si>
  <si>
    <t>Nombre del medio × Construyendo al enemigo</t>
  </si>
  <si>
    <t>El enemigo interno - Está entre nosotros, pero habla mal nuestra lengua y actúa de forma distinta: Menciones a los ciudadanos enfatizando su etnia o su origen aun cuando pertenece al mismo país</t>
  </si>
  <si>
    <t>El inmoral, vicioso y hasta cruel - Es ajeno a todo sentimiento de compasión y el vicio es su destino: Juicios o adjetivación sobre las prácticas de las personas</t>
  </si>
  <si>
    <t>El maloliente y sucio - Hiede producto de su alimentación o de sus malos hábitos: Menciones a los hábitos de higiene de las personas o de un grupo</t>
  </si>
  <si>
    <t>El hereje, el comunista - No venera ni se arrodilla ante nuestro Dios: Menciones a las prácticas rituales o ideológicas de una persona o un grupo</t>
  </si>
  <si>
    <t>El que proviene de una clase inferior y tiene malas costumbres - Es socialmente inferior, por tanto, envidioso de nuestro estilo de vida: Distinción a las personas o grupos por la clase social a la que pertenecen</t>
  </si>
  <si>
    <t>64.7%</t>
  </si>
  <si>
    <t>78.4%</t>
  </si>
  <si>
    <t>56.7%</t>
  </si>
  <si>
    <t>51.4%</t>
  </si>
  <si>
    <t>Frecuencia</t>
  </si>
  <si>
    <t>%</t>
  </si>
  <si>
    <t>Positvo</t>
  </si>
  <si>
    <t>Neutral</t>
  </si>
  <si>
    <t>Negativo</t>
  </si>
  <si>
    <t>FUENTE</t>
  </si>
  <si>
    <t xml:space="preserve">Teleamazonas </t>
  </si>
  <si>
    <t>Gobierno</t>
  </si>
  <si>
    <t xml:space="preserve">Ciudadanía movilizada </t>
  </si>
  <si>
    <t>Políticos</t>
  </si>
  <si>
    <t>Periodistas</t>
  </si>
  <si>
    <t xml:space="preserve">Cobertura in situ </t>
  </si>
  <si>
    <t>Cobertura alejada del hecho</t>
  </si>
  <si>
    <t>Otros</t>
  </si>
  <si>
    <t>Sector productivo,  empresarial y aliados</t>
  </si>
  <si>
    <t xml:space="preserve">Total </t>
  </si>
  <si>
    <t xml:space="preserve">Ecuavisa </t>
  </si>
  <si>
    <t xml:space="preserve">PROTAGONISTA </t>
  </si>
  <si>
    <t xml:space="preserve">Gobierno </t>
  </si>
  <si>
    <t xml:space="preserve">Políticos </t>
  </si>
  <si>
    <t xml:space="preserve">Analistas y Especialistas </t>
  </si>
  <si>
    <t>Policia y FFAA</t>
  </si>
  <si>
    <t>Sector empresarial</t>
  </si>
  <si>
    <t>Asociaciones, gremios, sindicatos</t>
  </si>
  <si>
    <t>Opocisión</t>
  </si>
  <si>
    <t>Lideres de la movilización</t>
  </si>
  <si>
    <t>Ciudadanía movilizada</t>
  </si>
  <si>
    <t>Policía y FFAA</t>
  </si>
  <si>
    <t>Gremios, sindicatos</t>
  </si>
  <si>
    <t xml:space="preserve">ANTAGONISTA </t>
  </si>
  <si>
    <t xml:space="preserve">Violentos, vándalos, delincuentes, subversivos, crimen organizado </t>
  </si>
  <si>
    <t>Rafael Correa, Golpistas, conspiradores</t>
  </si>
  <si>
    <t>Enfasis narrativo</t>
  </si>
  <si>
    <t>Violencia, terrorismo y crímen organizado</t>
  </si>
  <si>
    <t>Diálogo</t>
  </si>
  <si>
    <t>Acciones de pacificación</t>
  </si>
  <si>
    <t>ELLOS Y NOSOTROS</t>
  </si>
  <si>
    <t>LO IGNORANTE</t>
  </si>
  <si>
    <t xml:space="preserve"> Lo RESIDUAL </t>
  </si>
  <si>
    <t xml:space="preserve">LO INFERIOR </t>
  </si>
  <si>
    <t>LO LOCAL O PARTICULAR</t>
  </si>
  <si>
    <t>LO IMPRODUCTIVO</t>
  </si>
  <si>
    <t>INVISIBILIZACIÓN DEL 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</si>
</sst>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/>
    <xf numFmtId="164" fontId="0" fillId="0" borderId="0" xfId="0" applyNumberFormat="1"/>
    <xf numFmtId="164" fontId="3" fillId="0" borderId="0" xfId="0" applyNumberFormat="1" applyFont="1" applyAlignment="1">
      <alignment vertical="center" wrapText="1"/>
    </xf>
    <xf numFmtId="164" fontId="2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165" fontId="0" fillId="0" borderId="0" xfId="1" applyNumberFormat="1" applyFont="1"/>
    <xf numFmtId="10" fontId="0" fillId="0" borderId="0" xfId="0" applyNumberForma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9" fontId="3" fillId="0" borderId="1" xfId="0" applyNumberFormat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9" fontId="3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9" fontId="0" fillId="0" borderId="0" xfId="1" applyFont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9" fontId="4" fillId="2" borderId="1" xfId="1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Fuente!$A$17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Fuente!$B$16:$I$16</c:f>
              <c:strCache>
                <c:ptCount val="8"/>
                <c:pt idx="0">
                  <c:v>Gobierno</c:v>
                </c:pt>
                <c:pt idx="1">
                  <c:v>Ciudadanía movilizada </c:v>
                </c:pt>
                <c:pt idx="2">
                  <c:v>Sector productivo,  empresarial y aliados</c:v>
                </c:pt>
                <c:pt idx="3">
                  <c:v>Políticos</c:v>
                </c:pt>
                <c:pt idx="4">
                  <c:v>Periodistas</c:v>
                </c:pt>
                <c:pt idx="5">
                  <c:v>Cobertura in situ </c:v>
                </c:pt>
                <c:pt idx="6">
                  <c:v>Cobertura alejada del hecho</c:v>
                </c:pt>
                <c:pt idx="7">
                  <c:v>Otros</c:v>
                </c:pt>
              </c:strCache>
            </c:strRef>
          </c:cat>
          <c:val>
            <c:numRef>
              <c:f>Fuente!$B$17:$I$17</c:f>
            </c:numRef>
          </c:val>
          <c:extLst>
            <c:ext xmlns:c16="http://schemas.microsoft.com/office/drawing/2014/chart" uri="{C3380CC4-5D6E-409C-BE32-E72D297353CC}">
              <c16:uniqueId val="{00000000-402D-4D5F-B022-112422354B96}"/>
            </c:ext>
          </c:extLst>
        </c:ser>
        <c:ser>
          <c:idx val="1"/>
          <c:order val="1"/>
          <c:tx>
            <c:strRef>
              <c:f>Fuente!$A$18</c:f>
              <c:strCache>
                <c:ptCount val="1"/>
                <c:pt idx="0">
                  <c:v>Ecuavisa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Fuente!$B$16:$I$16</c:f>
              <c:strCache>
                <c:ptCount val="8"/>
                <c:pt idx="0">
                  <c:v>Gobierno</c:v>
                </c:pt>
                <c:pt idx="1">
                  <c:v>Ciudadanía movilizada </c:v>
                </c:pt>
                <c:pt idx="2">
                  <c:v>Sector productivo,  empresarial y aliados</c:v>
                </c:pt>
                <c:pt idx="3">
                  <c:v>Políticos</c:v>
                </c:pt>
                <c:pt idx="4">
                  <c:v>Periodistas</c:v>
                </c:pt>
                <c:pt idx="5">
                  <c:v>Cobertura in situ </c:v>
                </c:pt>
                <c:pt idx="6">
                  <c:v>Cobertura alejada del hecho</c:v>
                </c:pt>
                <c:pt idx="7">
                  <c:v>Otros</c:v>
                </c:pt>
              </c:strCache>
            </c:strRef>
          </c:cat>
          <c:val>
            <c:numRef>
              <c:f>Fuente!$B$18:$I$18</c:f>
              <c:numCache>
                <c:formatCode>0.0%</c:formatCode>
                <c:ptCount val="8"/>
                <c:pt idx="0">
                  <c:v>0.15782983970406905</c:v>
                </c:pt>
                <c:pt idx="1">
                  <c:v>4.4389642416769418E-2</c:v>
                </c:pt>
                <c:pt idx="2">
                  <c:v>5.9186189889025895E-2</c:v>
                </c:pt>
                <c:pt idx="3">
                  <c:v>1.1097410604192354E-2</c:v>
                </c:pt>
                <c:pt idx="4">
                  <c:v>4.9321824907521579E-3</c:v>
                </c:pt>
                <c:pt idx="5">
                  <c:v>9.98766954377312E-2</c:v>
                </c:pt>
                <c:pt idx="6">
                  <c:v>9.8643649815043158E-3</c:v>
                </c:pt>
                <c:pt idx="7">
                  <c:v>2.4660912453760789E-2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D-4D5F-B022-112422354B96}"/>
            </c:ext>
          </c:extLst>
        </c:ser>
        <c:ser>
          <c:idx val="3"/>
          <c:order val="3"/>
          <c:tx>
            <c:strRef>
              <c:f>Fuente!$A$20</c:f>
              <c:strCache>
                <c:ptCount val="1"/>
                <c:pt idx="0">
                  <c:v>Teleamazonas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Fuente!$B$16:$I$16</c:f>
              <c:strCache>
                <c:ptCount val="8"/>
                <c:pt idx="0">
                  <c:v>Gobierno</c:v>
                </c:pt>
                <c:pt idx="1">
                  <c:v>Ciudadanía movilizada </c:v>
                </c:pt>
                <c:pt idx="2">
                  <c:v>Sector productivo,  empresarial y aliados</c:v>
                </c:pt>
                <c:pt idx="3">
                  <c:v>Políticos</c:v>
                </c:pt>
                <c:pt idx="4">
                  <c:v>Periodistas</c:v>
                </c:pt>
                <c:pt idx="5">
                  <c:v>Cobertura in situ </c:v>
                </c:pt>
                <c:pt idx="6">
                  <c:v>Cobertura alejada del hecho</c:v>
                </c:pt>
                <c:pt idx="7">
                  <c:v>Otros</c:v>
                </c:pt>
              </c:strCache>
            </c:strRef>
          </c:cat>
          <c:val>
            <c:numRef>
              <c:f>Fuente!$B$20:$I$20</c:f>
              <c:numCache>
                <c:formatCode>0.0%</c:formatCode>
                <c:ptCount val="8"/>
                <c:pt idx="0">
                  <c:v>0.21454993834771888</c:v>
                </c:pt>
                <c:pt idx="1">
                  <c:v>3.3292231812577067E-2</c:v>
                </c:pt>
                <c:pt idx="2">
                  <c:v>9.1245376078914919E-2</c:v>
                </c:pt>
                <c:pt idx="3">
                  <c:v>6.1652281134401974E-3</c:v>
                </c:pt>
                <c:pt idx="4">
                  <c:v>1.2330456226880395E-2</c:v>
                </c:pt>
                <c:pt idx="5">
                  <c:v>0.18988902589395806</c:v>
                </c:pt>
                <c:pt idx="6">
                  <c:v>1.7262638717632551E-2</c:v>
                </c:pt>
                <c:pt idx="7">
                  <c:v>2.3427866831072751E-2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2D-4D5F-B022-112422354B96}"/>
            </c:ext>
          </c:extLst>
        </c:ser>
        <c:ser>
          <c:idx val="2"/>
          <c:order val="2"/>
          <c:tx>
            <c:strRef>
              <c:f>Fuente!$A$19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Fuente!$B$16:$I$16</c:f>
              <c:strCache>
                <c:ptCount val="8"/>
                <c:pt idx="0">
                  <c:v>Gobierno</c:v>
                </c:pt>
                <c:pt idx="1">
                  <c:v>Ciudadanía movilizada </c:v>
                </c:pt>
                <c:pt idx="2">
                  <c:v>Sector productivo,  empresarial y aliados</c:v>
                </c:pt>
                <c:pt idx="3">
                  <c:v>Políticos</c:v>
                </c:pt>
                <c:pt idx="4">
                  <c:v>Periodistas</c:v>
                </c:pt>
                <c:pt idx="5">
                  <c:v>Cobertura in situ </c:v>
                </c:pt>
                <c:pt idx="6">
                  <c:v>Cobertura alejada del hecho</c:v>
                </c:pt>
                <c:pt idx="7">
                  <c:v>Otros</c:v>
                </c:pt>
              </c:strCache>
            </c:strRef>
          </c:cat>
          <c:val>
            <c:numRef>
              <c:f>Fuente!$B$19:$I$19</c:f>
            </c:numRef>
          </c:val>
          <c:extLst>
            <c:ext xmlns:c16="http://schemas.microsoft.com/office/drawing/2014/chart" uri="{C3380CC4-5D6E-409C-BE32-E72D297353CC}">
              <c16:uniqueId val="{00000002-402D-4D5F-B022-112422354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7251983"/>
        <c:axId val="597252463"/>
      </c:barChart>
      <c:catAx>
        <c:axId val="59725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7252463"/>
        <c:crosses val="autoZero"/>
        <c:auto val="1"/>
        <c:lblAlgn val="ctr"/>
        <c:lblOffset val="100"/>
        <c:noMultiLvlLbl val="0"/>
      </c:catAx>
      <c:valAx>
        <c:axId val="59725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725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'Opiniones '!$B$17</c:f>
              <c:strCache>
                <c:ptCount val="1"/>
                <c:pt idx="0">
                  <c:v>Si existe distinción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'Opiniones '!$A$18:$A$19</c:f>
              <c:strCache>
                <c:ptCount val="2"/>
                <c:pt idx="0">
                  <c:v>Ecuavisa</c:v>
                </c:pt>
                <c:pt idx="1">
                  <c:v>Teleamazonas</c:v>
                </c:pt>
              </c:strCache>
            </c:strRef>
          </c:cat>
          <c:val>
            <c:numRef>
              <c:f>'Opiniones '!$B$18:$B$19</c:f>
              <c:numCache>
                <c:formatCode>General</c:formatCode>
                <c:ptCount val="2"/>
                <c:pt idx="0">
                  <c:v>20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F-4820-B63C-D0B04F55192B}"/>
            </c:ext>
          </c:extLst>
        </c:ser>
        <c:ser>
          <c:idx val="1"/>
          <c:order val="1"/>
          <c:tx>
            <c:strRef>
              <c:f>'Opiniones '!$C$17</c:f>
              <c:strCache>
                <c:ptCount val="1"/>
                <c:pt idx="0">
                  <c:v>No existe distinción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'Opiniones '!$A$18:$A$19</c:f>
              <c:strCache>
                <c:ptCount val="2"/>
                <c:pt idx="0">
                  <c:v>Ecuavisa</c:v>
                </c:pt>
                <c:pt idx="1">
                  <c:v>Teleamazonas</c:v>
                </c:pt>
              </c:strCache>
            </c:strRef>
          </c:cat>
          <c:val>
            <c:numRef>
              <c:f>'Opiniones '!$C$18:$C$19</c:f>
              <c:numCache>
                <c:formatCode>General</c:formatCode>
                <c:ptCount val="2"/>
                <c:pt idx="0">
                  <c:v>42</c:v>
                </c:pt>
                <c:pt idx="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F-4820-B63C-D0B04F55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617103"/>
        <c:axId val="439615663"/>
      </c:barChart>
      <c:catAx>
        <c:axId val="43961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9615663"/>
        <c:crosses val="autoZero"/>
        <c:auto val="1"/>
        <c:lblAlgn val="ctr"/>
        <c:lblOffset val="100"/>
        <c:noMultiLvlLbl val="0"/>
      </c:catAx>
      <c:valAx>
        <c:axId val="4396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961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Transparencia!$A$24</c:f>
              <c:strCache>
                <c:ptCount val="1"/>
                <c:pt idx="0">
                  <c:v>Ecuavisa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Transparencia!$B$23:$E$23</c:f>
              <c:strCache>
                <c:ptCount val="4"/>
                <c:pt idx="0">
                  <c:v>Si, cita una fuente</c:v>
                </c:pt>
                <c:pt idx="1">
                  <c:v>No, no cita fuentes</c:v>
                </c:pt>
                <c:pt idx="2">
                  <c:v>Si, cita de 2 a 5 fuentes</c:v>
                </c:pt>
                <c:pt idx="3">
                  <c:v>Si, cita más de 5 fuentes</c:v>
                </c:pt>
              </c:strCache>
            </c:strRef>
          </c:cat>
          <c:val>
            <c:numRef>
              <c:f>Transparencia!$B$24:$E$24</c:f>
              <c:numCache>
                <c:formatCode>0.0%</c:formatCode>
                <c:ptCount val="4"/>
                <c:pt idx="0">
                  <c:v>0.38840937114673241</c:v>
                </c:pt>
                <c:pt idx="1">
                  <c:v>1.6029593094944512E-2</c:v>
                </c:pt>
                <c:pt idx="2">
                  <c:v>7.3982737361282368E-3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2-45F2-B655-5F6FD7123255}"/>
            </c:ext>
          </c:extLst>
        </c:ser>
        <c:ser>
          <c:idx val="1"/>
          <c:order val="1"/>
          <c:tx>
            <c:strRef>
              <c:f>Transparencia!$A$25</c:f>
              <c:strCache>
                <c:ptCount val="1"/>
                <c:pt idx="0">
                  <c:v>Teleamazonas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Transparencia!$B$23:$E$23</c:f>
              <c:strCache>
                <c:ptCount val="4"/>
                <c:pt idx="0">
                  <c:v>Si, cita una fuente</c:v>
                </c:pt>
                <c:pt idx="1">
                  <c:v>No, no cita fuentes</c:v>
                </c:pt>
                <c:pt idx="2">
                  <c:v>Si, cita de 2 a 5 fuentes</c:v>
                </c:pt>
                <c:pt idx="3">
                  <c:v>Si, cita más de 5 fuentes</c:v>
                </c:pt>
              </c:strCache>
            </c:strRef>
          </c:cat>
          <c:val>
            <c:numRef>
              <c:f>Transparencia!$B$25:$E$25</c:f>
              <c:numCache>
                <c:formatCode>0.0%</c:formatCode>
                <c:ptCount val="4"/>
                <c:pt idx="0">
                  <c:v>0.5141800246609125</c:v>
                </c:pt>
                <c:pt idx="1">
                  <c:v>5.1787916152897656E-2</c:v>
                </c:pt>
                <c:pt idx="2">
                  <c:v>2.2194821208384709E-2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2-45F2-B655-5F6FD7123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539919"/>
        <c:axId val="446540879"/>
      </c:barChart>
      <c:catAx>
        <c:axId val="44653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6540879"/>
        <c:crosses val="autoZero"/>
        <c:auto val="1"/>
        <c:lblAlgn val="ctr"/>
        <c:lblOffset val="100"/>
        <c:noMultiLvlLbl val="0"/>
      </c:catAx>
      <c:valAx>
        <c:axId val="4465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653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Protagonista!$W$17</c:f>
              <c:strCache>
                <c:ptCount val="1"/>
                <c:pt idx="0">
                  <c:v>Ecuavisa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Protagonista!$X$16:$AJ$16</c:f>
              <c:strCache>
                <c:ptCount val="13"/>
                <c:pt idx="0">
                  <c:v>Lideres de la movilización</c:v>
                </c:pt>
                <c:pt idx="1">
                  <c:v>Periodistas</c:v>
                </c:pt>
                <c:pt idx="2">
                  <c:v>Políticos </c:v>
                </c:pt>
                <c:pt idx="3">
                  <c:v>Analistas y Especialistas </c:v>
                </c:pt>
                <c:pt idx="4">
                  <c:v>Policía y FFAA</c:v>
                </c:pt>
                <c:pt idx="5">
                  <c:v>Sector empresarial</c:v>
                </c:pt>
                <c:pt idx="6">
                  <c:v>Gremios, sindicatos</c:v>
                </c:pt>
                <c:pt idx="7">
                  <c:v>Gobierno </c:v>
                </c:pt>
                <c:pt idx="8">
                  <c:v>Ciudadanía movilizada</c:v>
                </c:pt>
                <c:pt idx="9">
                  <c:v>Opocisión</c:v>
                </c:pt>
                <c:pt idx="10">
                  <c:v>Ciudadanos contra las protestas</c:v>
                </c:pt>
                <c:pt idx="11">
                  <c:v>Iglesia</c:v>
                </c:pt>
                <c:pt idx="12">
                  <c:v>Ninguno</c:v>
                </c:pt>
              </c:strCache>
            </c:strRef>
          </c:cat>
          <c:val>
            <c:numRef>
              <c:f>Protagonista!$X$17:$AJ$17</c:f>
              <c:numCache>
                <c:formatCode>0%</c:formatCode>
                <c:ptCount val="13"/>
                <c:pt idx="0">
                  <c:v>3.5758323057953144E-2</c:v>
                </c:pt>
                <c:pt idx="1">
                  <c:v>3.6991368680641184E-3</c:v>
                </c:pt>
                <c:pt idx="2">
                  <c:v>7.3982737361282368E-3</c:v>
                </c:pt>
                <c:pt idx="3">
                  <c:v>2.7127003699136867E-2</c:v>
                </c:pt>
                <c:pt idx="4">
                  <c:v>4.562268803945746E-2</c:v>
                </c:pt>
                <c:pt idx="5">
                  <c:v>2.7127003699136867E-2</c:v>
                </c:pt>
                <c:pt idx="6">
                  <c:v>1.8495684340320593E-2</c:v>
                </c:pt>
                <c:pt idx="7">
                  <c:v>6.9050554870530204E-2</c:v>
                </c:pt>
                <c:pt idx="8">
                  <c:v>7.0283600493218246E-2</c:v>
                </c:pt>
                <c:pt idx="9">
                  <c:v>9.8643649815043158E-3</c:v>
                </c:pt>
                <c:pt idx="10">
                  <c:v>1.4796547472256474E-2</c:v>
                </c:pt>
                <c:pt idx="11">
                  <c:v>3.6991368680641184E-3</c:v>
                </c:pt>
                <c:pt idx="12">
                  <c:v>7.8914919852034526E-2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3-4E33-8B31-8F6D75CB158D}"/>
            </c:ext>
          </c:extLst>
        </c:ser>
        <c:ser>
          <c:idx val="1"/>
          <c:order val="1"/>
          <c:tx>
            <c:strRef>
              <c:f>Protagonista!$W$18</c:f>
              <c:strCache>
                <c:ptCount val="1"/>
                <c:pt idx="0">
                  <c:v>Teleamazonas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Protagonista!$X$16:$AJ$16</c:f>
              <c:strCache>
                <c:ptCount val="13"/>
                <c:pt idx="0">
                  <c:v>Lideres de la movilización</c:v>
                </c:pt>
                <c:pt idx="1">
                  <c:v>Periodistas</c:v>
                </c:pt>
                <c:pt idx="2">
                  <c:v>Políticos </c:v>
                </c:pt>
                <c:pt idx="3">
                  <c:v>Analistas y Especialistas </c:v>
                </c:pt>
                <c:pt idx="4">
                  <c:v>Policía y FFAA</c:v>
                </c:pt>
                <c:pt idx="5">
                  <c:v>Sector empresarial</c:v>
                </c:pt>
                <c:pt idx="6">
                  <c:v>Gremios, sindicatos</c:v>
                </c:pt>
                <c:pt idx="7">
                  <c:v>Gobierno </c:v>
                </c:pt>
                <c:pt idx="8">
                  <c:v>Ciudadanía movilizada</c:v>
                </c:pt>
                <c:pt idx="9">
                  <c:v>Opocisión</c:v>
                </c:pt>
                <c:pt idx="10">
                  <c:v>Ciudadanos contra las protestas</c:v>
                </c:pt>
                <c:pt idx="11">
                  <c:v>Iglesia</c:v>
                </c:pt>
                <c:pt idx="12">
                  <c:v>Ninguno</c:v>
                </c:pt>
              </c:strCache>
            </c:strRef>
          </c:cat>
          <c:val>
            <c:numRef>
              <c:f>Protagonista!$X$18:$AJ$18</c:f>
              <c:numCache>
                <c:formatCode>0%</c:formatCode>
                <c:ptCount val="13"/>
                <c:pt idx="0">
                  <c:v>3.9457459926017263E-2</c:v>
                </c:pt>
                <c:pt idx="1">
                  <c:v>1.7262638717632551E-2</c:v>
                </c:pt>
                <c:pt idx="2">
                  <c:v>3.6991368680641184E-3</c:v>
                </c:pt>
                <c:pt idx="3">
                  <c:v>1.4796547472256474E-2</c:v>
                </c:pt>
                <c:pt idx="4">
                  <c:v>4.9321824907521579E-2</c:v>
                </c:pt>
                <c:pt idx="5">
                  <c:v>3.0826140567200986E-2</c:v>
                </c:pt>
                <c:pt idx="6">
                  <c:v>3.6991368680641184E-3</c:v>
                </c:pt>
                <c:pt idx="7">
                  <c:v>0.12453760789149199</c:v>
                </c:pt>
                <c:pt idx="8">
                  <c:v>0.14303329223181258</c:v>
                </c:pt>
                <c:pt idx="9">
                  <c:v>4.9321824907521579E-3</c:v>
                </c:pt>
                <c:pt idx="10">
                  <c:v>3.6991368680641186E-2</c:v>
                </c:pt>
                <c:pt idx="11">
                  <c:v>6.1652281134401974E-3</c:v>
                </c:pt>
                <c:pt idx="12">
                  <c:v>0.11344019728729964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3-4E33-8B31-8F6D75CB1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122335"/>
        <c:axId val="1378345743"/>
      </c:barChart>
      <c:catAx>
        <c:axId val="23912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8345743"/>
        <c:crosses val="autoZero"/>
        <c:auto val="1"/>
        <c:lblAlgn val="ctr"/>
        <c:lblOffset val="100"/>
        <c:noMultiLvlLbl val="0"/>
      </c:catAx>
      <c:valAx>
        <c:axId val="137834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912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Antagonista!$A$4</c:f>
              <c:strCache>
                <c:ptCount val="1"/>
                <c:pt idx="0">
                  <c:v>Ecuavisa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Antagonista!$B$3:$E$3</c:f>
              <c:strCache>
                <c:ptCount val="4"/>
                <c:pt idx="0">
                  <c:v>Rafael Correa, Golpistas, conspiradores</c:v>
                </c:pt>
                <c:pt idx="1">
                  <c:v>Violentos, vándalos, delincuentes, subversivos, crimen organizado </c:v>
                </c:pt>
                <c:pt idx="2">
                  <c:v>Conaie o ciudadanía movilizada</c:v>
                </c:pt>
                <c:pt idx="3">
                  <c:v>Guillermo Lasso o el Gobierno Nacional</c:v>
                </c:pt>
              </c:strCache>
            </c:strRef>
          </c:cat>
          <c:val>
            <c:numRef>
              <c:f>Antagonista!$B$4:$E$4</c:f>
              <c:numCache>
                <c:formatCode>General</c:formatCode>
                <c:ptCount val="4"/>
                <c:pt idx="0">
                  <c:v>19</c:v>
                </c:pt>
                <c:pt idx="1">
                  <c:v>70</c:v>
                </c:pt>
                <c:pt idx="2">
                  <c:v>71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7-4643-8674-F0A65AAAE3C9}"/>
            </c:ext>
          </c:extLst>
        </c:ser>
        <c:ser>
          <c:idx val="1"/>
          <c:order val="1"/>
          <c:tx>
            <c:strRef>
              <c:f>Antagonista!$A$5</c:f>
              <c:strCache>
                <c:ptCount val="1"/>
                <c:pt idx="0">
                  <c:v>Teleamazonas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Antagonista!$B$3:$E$3</c:f>
              <c:strCache>
                <c:ptCount val="4"/>
                <c:pt idx="0">
                  <c:v>Rafael Correa, Golpistas, conspiradores</c:v>
                </c:pt>
                <c:pt idx="1">
                  <c:v>Violentos, vándalos, delincuentes, subversivos, crimen organizado </c:v>
                </c:pt>
                <c:pt idx="2">
                  <c:v>Conaie o ciudadanía movilizada</c:v>
                </c:pt>
                <c:pt idx="3">
                  <c:v>Guillermo Lasso o el Gobierno Nacional</c:v>
                </c:pt>
              </c:strCache>
            </c:strRef>
          </c:cat>
          <c:val>
            <c:numRef>
              <c:f>Antagonista!$B$5:$E$5</c:f>
              <c:numCache>
                <c:formatCode>General</c:formatCode>
                <c:ptCount val="4"/>
                <c:pt idx="0">
                  <c:v>21</c:v>
                </c:pt>
                <c:pt idx="1">
                  <c:v>76</c:v>
                </c:pt>
                <c:pt idx="2">
                  <c:v>99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7-4643-8674-F0A65AAAE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0522351"/>
        <c:axId val="1320521871"/>
      </c:barChart>
      <c:catAx>
        <c:axId val="132052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0521871"/>
        <c:crosses val="autoZero"/>
        <c:auto val="1"/>
        <c:lblAlgn val="ctr"/>
        <c:lblOffset val="100"/>
        <c:noMultiLvlLbl val="0"/>
      </c:catAx>
      <c:valAx>
        <c:axId val="132052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052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6634776902887137"/>
          <c:y val="5.0925925925925923E-2"/>
          <c:w val="0.49481189851268592"/>
          <c:h val="0.736141732283464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'Enfasis narrativo'!$A$10</c:f>
              <c:strCache>
                <c:ptCount val="1"/>
                <c:pt idx="0">
                  <c:v>Ecuavisa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'Enfasis narrativo'!$B$9:$I$9</c:f>
              <c:strCache>
                <c:ptCount val="8"/>
                <c:pt idx="0">
                  <c:v>Afectación Económica</c:v>
                </c:pt>
                <c:pt idx="1">
                  <c:v>Afectación Infraestructura</c:v>
                </c:pt>
                <c:pt idx="2">
                  <c:v>Afectación Democrática</c:v>
                </c:pt>
                <c:pt idx="3">
                  <c:v>Violencia, terrorismo y crímen organizado</c:v>
                </c:pt>
                <c:pt idx="4">
                  <c:v>Diálogo</c:v>
                </c:pt>
                <c:pt idx="5">
                  <c:v>Informativo</c:v>
                </c:pt>
                <c:pt idx="6">
                  <c:v>Normalidad</c:v>
                </c:pt>
                <c:pt idx="7">
                  <c:v>Acciones de pacificación</c:v>
                </c:pt>
              </c:strCache>
            </c:strRef>
          </c:cat>
          <c:val>
            <c:numRef>
              <c:f>'Enfasis narrativo'!$B$10:$I$10</c:f>
              <c:numCache>
                <c:formatCode>0%</c:formatCode>
                <c:ptCount val="8"/>
                <c:pt idx="0">
                  <c:v>5.9186189889025895E-2</c:v>
                </c:pt>
                <c:pt idx="1">
                  <c:v>6.1652281134401972E-2</c:v>
                </c:pt>
                <c:pt idx="2">
                  <c:v>1.6029593094944512E-2</c:v>
                </c:pt>
                <c:pt idx="3">
                  <c:v>9.0012330456226877E-2</c:v>
                </c:pt>
                <c:pt idx="4">
                  <c:v>7.52157829839704E-2</c:v>
                </c:pt>
                <c:pt idx="5">
                  <c:v>0.10850801479654747</c:v>
                </c:pt>
                <c:pt idx="6">
                  <c:v>0</c:v>
                </c:pt>
                <c:pt idx="7">
                  <c:v>1.2330456226880395E-3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F-444B-8F47-F7B7C3D2F0D0}"/>
            </c:ext>
          </c:extLst>
        </c:ser>
        <c:ser>
          <c:idx val="1"/>
          <c:order val="1"/>
          <c:tx>
            <c:strRef>
              <c:f>'Enfasis narrativo'!$A$11</c:f>
              <c:strCache>
                <c:ptCount val="1"/>
                <c:pt idx="0">
                  <c:v>Teleamazonas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'Enfasis narrativo'!$B$9:$I$9</c:f>
              <c:strCache>
                <c:ptCount val="8"/>
                <c:pt idx="0">
                  <c:v>Afectación Económica</c:v>
                </c:pt>
                <c:pt idx="1">
                  <c:v>Afectación Infraestructura</c:v>
                </c:pt>
                <c:pt idx="2">
                  <c:v>Afectación Democrática</c:v>
                </c:pt>
                <c:pt idx="3">
                  <c:v>Violencia, terrorismo y crímen organizado</c:v>
                </c:pt>
                <c:pt idx="4">
                  <c:v>Diálogo</c:v>
                </c:pt>
                <c:pt idx="5">
                  <c:v>Informativo</c:v>
                </c:pt>
                <c:pt idx="6">
                  <c:v>Normalidad</c:v>
                </c:pt>
                <c:pt idx="7">
                  <c:v>Acciones de pacificación</c:v>
                </c:pt>
              </c:strCache>
            </c:strRef>
          </c:cat>
          <c:val>
            <c:numRef>
              <c:f>'Enfasis narrativo'!$B$11:$I$11</c:f>
              <c:numCache>
                <c:formatCode>0%</c:formatCode>
                <c:ptCount val="8"/>
                <c:pt idx="0">
                  <c:v>7.0283600493218246E-2</c:v>
                </c:pt>
                <c:pt idx="1">
                  <c:v>0.10727496917385944</c:v>
                </c:pt>
                <c:pt idx="2">
                  <c:v>2.096177558569667E-2</c:v>
                </c:pt>
                <c:pt idx="3">
                  <c:v>0.11837237977805179</c:v>
                </c:pt>
                <c:pt idx="4">
                  <c:v>7.6448828606658442E-2</c:v>
                </c:pt>
                <c:pt idx="5">
                  <c:v>0.1504315659679408</c:v>
                </c:pt>
                <c:pt idx="6">
                  <c:v>2.7127003699136867E-2</c:v>
                </c:pt>
                <c:pt idx="7">
                  <c:v>1.7262638717632551E-2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CF-444B-8F47-F7B7C3D2F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7424575"/>
        <c:axId val="1387423615"/>
      </c:barChart>
      <c:catAx>
        <c:axId val="138742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7423615"/>
        <c:crosses val="autoZero"/>
        <c:auto val="1"/>
        <c:lblAlgn val="ctr"/>
        <c:lblOffset val="100"/>
        <c:noMultiLvlLbl val="0"/>
      </c:catAx>
      <c:valAx>
        <c:axId val="138742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74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515069071576288E-2"/>
          <c:y val="2.5428331875182269E-2"/>
          <c:w val="0.94908693086124751"/>
          <c:h val="0.68528506853310001"/>
        </c:manualLayout>
      </c:layout>
      <c:lineChart>
        <c:grouping val="standard"/>
        <c:varyColors val="0"/>
        <c:ser>
          <c:idx val="0"/>
          <c:order val="0"/>
          <c:tx>
            <c:strRef>
              <c:f>'Enfasis narrativo'!$A$10</c:f>
              <c:strCache>
                <c:ptCount val="1"/>
                <c:pt idx="0">
                  <c:v>Ecuavisa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'Enfasis narrativo'!$B$9:$I$9</c:f>
              <c:strCache>
                <c:ptCount val="8"/>
                <c:pt idx="0">
                  <c:v>Afectación Económica</c:v>
                </c:pt>
                <c:pt idx="1">
                  <c:v>Afectación Infraestructura</c:v>
                </c:pt>
                <c:pt idx="2">
                  <c:v>Afectación Democrática</c:v>
                </c:pt>
                <c:pt idx="3">
                  <c:v>Violencia, terrorismo y crímen organizado</c:v>
                </c:pt>
                <c:pt idx="4">
                  <c:v>Diálogo</c:v>
                </c:pt>
                <c:pt idx="5">
                  <c:v>Informativo</c:v>
                </c:pt>
                <c:pt idx="6">
                  <c:v>Normalidad</c:v>
                </c:pt>
                <c:pt idx="7">
                  <c:v>Acciones de pacificación</c:v>
                </c:pt>
              </c:strCache>
            </c:strRef>
          </c:cat>
          <c:val>
            <c:numRef>
              <c:f>'Enfasis narrativo'!$B$10:$I$10</c:f>
              <c:numCache>
                <c:formatCode>0%</c:formatCode>
                <c:ptCount val="8"/>
                <c:pt idx="0">
                  <c:v>5.9186189889025895E-2</c:v>
                </c:pt>
                <c:pt idx="1">
                  <c:v>6.1652281134401972E-2</c:v>
                </c:pt>
                <c:pt idx="2">
                  <c:v>1.6029593094944512E-2</c:v>
                </c:pt>
                <c:pt idx="3">
                  <c:v>9.0012330456226877E-2</c:v>
                </c:pt>
                <c:pt idx="4">
                  <c:v>7.52157829839704E-2</c:v>
                </c:pt>
                <c:pt idx="5">
                  <c:v>0.10850801479654747</c:v>
                </c:pt>
                <c:pt idx="6">
                  <c:v>0</c:v>
                </c:pt>
                <c:pt idx="7">
                  <c:v>1.2330456226880395E-3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9-47CD-A861-E7F880686FA7}"/>
            </c:ext>
          </c:extLst>
        </c:ser>
        <c:ser>
          <c:idx val="1"/>
          <c:order val="1"/>
          <c:tx>
            <c:strRef>
              <c:f>'Enfasis narrativo'!$A$11</c:f>
              <c:strCache>
                <c:ptCount val="1"/>
                <c:pt idx="0">
                  <c:v>Teleamazonas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'Enfasis narrativo'!$B$9:$I$9</c:f>
              <c:strCache>
                <c:ptCount val="8"/>
                <c:pt idx="0">
                  <c:v>Afectación Económica</c:v>
                </c:pt>
                <c:pt idx="1">
                  <c:v>Afectación Infraestructura</c:v>
                </c:pt>
                <c:pt idx="2">
                  <c:v>Afectación Democrática</c:v>
                </c:pt>
                <c:pt idx="3">
                  <c:v>Violencia, terrorismo y crímen organizado</c:v>
                </c:pt>
                <c:pt idx="4">
                  <c:v>Diálogo</c:v>
                </c:pt>
                <c:pt idx="5">
                  <c:v>Informativo</c:v>
                </c:pt>
                <c:pt idx="6">
                  <c:v>Normalidad</c:v>
                </c:pt>
                <c:pt idx="7">
                  <c:v>Acciones de pacificación</c:v>
                </c:pt>
              </c:strCache>
            </c:strRef>
          </c:cat>
          <c:val>
            <c:numRef>
              <c:f>'Enfasis narrativo'!$B$11:$I$11</c:f>
              <c:numCache>
                <c:formatCode>0%</c:formatCode>
                <c:ptCount val="8"/>
                <c:pt idx="0">
                  <c:v>7.0283600493218246E-2</c:v>
                </c:pt>
                <c:pt idx="1">
                  <c:v>0.10727496917385944</c:v>
                </c:pt>
                <c:pt idx="2">
                  <c:v>2.096177558569667E-2</c:v>
                </c:pt>
                <c:pt idx="3">
                  <c:v>0.11837237977805179</c:v>
                </c:pt>
                <c:pt idx="4">
                  <c:v>7.6448828606658442E-2</c:v>
                </c:pt>
                <c:pt idx="5">
                  <c:v>0.1504315659679408</c:v>
                </c:pt>
                <c:pt idx="6">
                  <c:v>2.7127003699136867E-2</c:v>
                </c:pt>
                <c:pt idx="7">
                  <c:v>1.7262638717632551E-2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39-47CD-A861-E7F880686F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9957439"/>
        <c:axId val="1929951679"/>
      </c:lineChart>
      <c:catAx>
        <c:axId val="1929957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9951679"/>
        <c:crosses val="autoZero"/>
        <c:auto val="1"/>
        <c:lblAlgn val="ctr"/>
        <c:lblOffset val="100"/>
        <c:noMultiLvlLbl val="0"/>
      </c:catAx>
      <c:valAx>
        <c:axId val="19299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995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_xlchart.v2.2</cx:f>
      </cx:strDim>
      <cx:numDim type="val">
        <cx:f dir="row">_xlchart.v2.3</cx:f>
      </cx:numDim>
    </cx:data>
    <cx:data id="1">
      <cx:strDim type="cat">
        <cx:f dir="row">_xlchart.v2.2</cx:f>
      </cx:strDim>
      <cx:numDim type="val">
        <cx:f dir="row">_xlchart.v2.4</cx:f>
      </cx:numDim>
    </cx:data>
  </cx:chartData>
  <cx:chart>
    <cx:plotArea>
      <cx:plotAreaRegion>
        <cx:series layoutId="funnel" uniqueId="{3D9BA4A8-F14C-4B3F-B578-90C4AB6A8738}" formatIdx="0">
          <cx:tx>
            <cx:txData>
              <cx:f>_xlchart.v2.0</cx:f>
              <cx:v>Ecuavisa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566270F3-D08B-4609-BAF5-BD6CF2BBE102}" formatIdx="1">
          <cx:tx>
            <cx:txData>
              <cx:f>_xlchart.v2.1</cx:f>
              <cx:v>Teleamazonas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22</xdr:row>
      <xdr:rowOff>185737</xdr:rowOff>
    </xdr:from>
    <xdr:to>
      <xdr:col>8</xdr:col>
      <xdr:colOff>566737</xdr:colOff>
      <xdr:row>37</xdr:row>
      <xdr:rowOff>71437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EA4F8EC-0CDA-A6BB-2210-3EF80767B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9</xdr:row>
      <xdr:rowOff>90487</xdr:rowOff>
    </xdr:from>
    <xdr:to>
      <xdr:col>12</xdr:col>
      <xdr:colOff>595312</xdr:colOff>
      <xdr:row>21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3DF3B6-05AD-6C5C-BFB7-545DA4C55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700087</xdr:colOff>
      <xdr:row>16</xdr:row>
      <xdr:rowOff>90487</xdr:rowOff>
    </xdr:from>
    <xdr:to>
      <xdr:col>12</xdr:col>
      <xdr:colOff>700087</xdr:colOff>
      <xdr:row>25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6B680D-11C3-163E-A0A9-D2AC412B0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619125</xdr:colOff>
      <xdr:row>22</xdr:row>
      <xdr:rowOff>4762</xdr:rowOff>
    </xdr:from>
    <xdr:to>
      <xdr:col>30</xdr:col>
      <xdr:colOff>619125</xdr:colOff>
      <xdr:row>36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6E442A-DDF4-9C9A-DCDA-75D7D4D54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12</xdr:row>
      <xdr:rowOff>80962</xdr:rowOff>
    </xdr:from>
    <xdr:to>
      <xdr:col>3</xdr:col>
      <xdr:colOff>1076325</xdr:colOff>
      <xdr:row>26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F77811-542C-698B-9117-606286A9F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10</xdr:row>
      <xdr:rowOff>347662</xdr:rowOff>
    </xdr:from>
    <xdr:to>
      <xdr:col>17</xdr:col>
      <xdr:colOff>9525</xdr:colOff>
      <xdr:row>25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AD744-542F-543E-4DD5-6DC8FBD16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</xdr:colOff>
      <xdr:row>2</xdr:row>
      <xdr:rowOff>52387</xdr:rowOff>
    </xdr:from>
    <xdr:to>
      <xdr:col>24</xdr:col>
      <xdr:colOff>561975</xdr:colOff>
      <xdr:row>10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BBCFB8-F5E0-1491-221F-7A7157CFA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8</xdr:row>
      <xdr:rowOff>90487</xdr:rowOff>
    </xdr:from>
    <xdr:to>
      <xdr:col>14</xdr:col>
      <xdr:colOff>533400</xdr:colOff>
      <xdr:row>18</xdr:row>
      <xdr:rowOff>166687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0D17AA0-4FDE-34F3-AB8E-FBB69E8D72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185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93C7-1177-4156-BDB6-86805A9ABB36}">
  <dimension ref="A2:F5"/>
  <sheetViews>
    <sheetView workbookViewId="0">
      <selection activeCell="D6" sqref="A1:D6"/>
    </sheetView>
  </sheetViews>
  <sheetFormatPr baseColWidth="10" defaultRowHeight="15" x14ac:dyDescent="0.25"/>
  <cols>
    <col min="1" max="1" width="30.85546875" customWidth="1"/>
    <col min="2" max="2" width="20.85546875" customWidth="1"/>
    <col min="3" max="3" width="11.85546875" style="5" bestFit="1" customWidth="1"/>
  </cols>
  <sheetData>
    <row r="2" spans="1:6" x14ac:dyDescent="0.25">
      <c r="A2" s="8"/>
      <c r="B2" s="8" t="s">
        <v>330</v>
      </c>
      <c r="C2" s="9" t="s">
        <v>331</v>
      </c>
      <c r="D2" s="1"/>
      <c r="E2" s="1"/>
    </row>
    <row r="3" spans="1:6" x14ac:dyDescent="0.25">
      <c r="A3" s="8" t="s">
        <v>1</v>
      </c>
      <c r="B3" s="10">
        <v>334</v>
      </c>
      <c r="C3" s="11">
        <v>0.41399999999999998</v>
      </c>
      <c r="D3" s="2"/>
      <c r="E3" s="2"/>
    </row>
    <row r="4" spans="1:6" ht="30" x14ac:dyDescent="0.25">
      <c r="A4" s="8" t="s">
        <v>12</v>
      </c>
      <c r="B4" s="10">
        <v>477</v>
      </c>
      <c r="C4" s="11">
        <v>0.58599999999999997</v>
      </c>
      <c r="D4" s="2"/>
      <c r="E4" s="2"/>
    </row>
    <row r="5" spans="1:6" x14ac:dyDescent="0.25">
      <c r="A5" s="12" t="s">
        <v>19</v>
      </c>
      <c r="B5" s="12">
        <v>811</v>
      </c>
      <c r="C5" s="13">
        <v>1</v>
      </c>
      <c r="D5" s="4"/>
      <c r="E5" s="4"/>
      <c r="F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7376-631F-4954-959B-2245FEC5CCD3}">
  <dimension ref="A1:H15"/>
  <sheetViews>
    <sheetView zoomScaleNormal="100" workbookViewId="0">
      <selection activeCell="E15" sqref="E15"/>
    </sheetView>
  </sheetViews>
  <sheetFormatPr baseColWidth="10" defaultRowHeight="15" x14ac:dyDescent="0.25"/>
  <cols>
    <col min="1" max="1" width="16.28515625" customWidth="1"/>
  </cols>
  <sheetData>
    <row r="1" spans="1:8" x14ac:dyDescent="0.25">
      <c r="A1" s="19"/>
      <c r="B1" s="19"/>
      <c r="C1" s="19"/>
      <c r="D1" s="19"/>
      <c r="E1" s="19"/>
    </row>
    <row r="2" spans="1:8" x14ac:dyDescent="0.25">
      <c r="A2" s="18"/>
      <c r="B2" s="18" t="s">
        <v>332</v>
      </c>
      <c r="C2" s="18" t="s">
        <v>333</v>
      </c>
      <c r="D2" s="18" t="s">
        <v>334</v>
      </c>
      <c r="E2" s="18" t="s">
        <v>19</v>
      </c>
    </row>
    <row r="3" spans="1:8" x14ac:dyDescent="0.25">
      <c r="A3" s="50" t="s">
        <v>1</v>
      </c>
      <c r="B3" s="17">
        <v>10</v>
      </c>
      <c r="C3" s="17">
        <v>219</v>
      </c>
      <c r="D3" s="17">
        <v>105</v>
      </c>
      <c r="E3" s="17">
        <v>334</v>
      </c>
    </row>
    <row r="4" spans="1:8" x14ac:dyDescent="0.25">
      <c r="A4" s="50"/>
      <c r="B4" s="20">
        <f>B3/E7</f>
        <v>1.2330456226880395E-2</v>
      </c>
      <c r="C4" s="20">
        <f>C3/E7</f>
        <v>0.27003699136868065</v>
      </c>
      <c r="D4" s="20">
        <f>D3/E7</f>
        <v>0.12946979038224415</v>
      </c>
      <c r="E4" s="20">
        <f>SUM(B4:D4)</f>
        <v>0.41183723797780519</v>
      </c>
    </row>
    <row r="5" spans="1:8" x14ac:dyDescent="0.25">
      <c r="A5" s="50" t="s">
        <v>12</v>
      </c>
      <c r="B5" s="17">
        <v>14</v>
      </c>
      <c r="C5" s="17">
        <v>347</v>
      </c>
      <c r="D5" s="17">
        <v>116</v>
      </c>
      <c r="E5" s="17">
        <v>477</v>
      </c>
    </row>
    <row r="6" spans="1:8" x14ac:dyDescent="0.25">
      <c r="A6" s="50"/>
      <c r="B6" s="21">
        <f>B5/E7</f>
        <v>1.7262638717632551E-2</v>
      </c>
      <c r="C6" s="21">
        <f>C5/E7</f>
        <v>0.4278668310727497</v>
      </c>
      <c r="D6" s="21">
        <f>D5/E7</f>
        <v>0.14303329223181258</v>
      </c>
      <c r="E6" s="21">
        <f>SUM(B6:D6)</f>
        <v>0.58816276202219486</v>
      </c>
    </row>
    <row r="7" spans="1:8" x14ac:dyDescent="0.25">
      <c r="A7" s="51" t="s">
        <v>19</v>
      </c>
      <c r="B7" s="17">
        <v>24</v>
      </c>
      <c r="C7" s="17">
        <v>566</v>
      </c>
      <c r="D7" s="17">
        <v>221</v>
      </c>
      <c r="E7" s="17">
        <v>811</v>
      </c>
    </row>
    <row r="8" spans="1:8" x14ac:dyDescent="0.25">
      <c r="A8" s="52"/>
      <c r="B8" s="21">
        <f>B7/E7</f>
        <v>2.9593094944512947E-2</v>
      </c>
      <c r="C8" s="21">
        <f>C7/E7</f>
        <v>0.69790382244143034</v>
      </c>
      <c r="D8" s="21">
        <f>D7/E7</f>
        <v>0.2725030826140567</v>
      </c>
      <c r="E8" s="21">
        <f>SUM(B8:D8)</f>
        <v>1</v>
      </c>
    </row>
    <row r="9" spans="1:8" x14ac:dyDescent="0.25">
      <c r="A9" s="19"/>
      <c r="B9" s="19"/>
      <c r="C9" s="19"/>
      <c r="D9" s="19"/>
      <c r="E9" s="19"/>
    </row>
    <row r="10" spans="1:8" x14ac:dyDescent="0.25">
      <c r="A10" s="19"/>
      <c r="B10" s="19"/>
      <c r="C10" s="19"/>
      <c r="D10" s="19"/>
      <c r="E10" s="19"/>
    </row>
    <row r="11" spans="1:8" x14ac:dyDescent="0.25">
      <c r="A11" s="19"/>
      <c r="B11" s="19"/>
      <c r="C11" s="19"/>
      <c r="D11" s="19"/>
      <c r="E11" s="19"/>
    </row>
    <row r="15" spans="1:8" x14ac:dyDescent="0.25">
      <c r="H15" s="15"/>
    </row>
  </sheetData>
  <mergeCells count="3">
    <mergeCell ref="A3:A4"/>
    <mergeCell ref="A5:A6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7FAB-94C0-498C-8260-E74873331933}">
  <dimension ref="A1:J22"/>
  <sheetViews>
    <sheetView workbookViewId="0">
      <selection sqref="A1:K40"/>
    </sheetView>
  </sheetViews>
  <sheetFormatPr baseColWidth="10" defaultRowHeight="15" x14ac:dyDescent="0.25"/>
  <cols>
    <col min="1" max="1" width="22.85546875" customWidth="1"/>
  </cols>
  <sheetData>
    <row r="1" spans="1:10" x14ac:dyDescent="0.25">
      <c r="A1" t="s">
        <v>335</v>
      </c>
    </row>
    <row r="4" spans="1:10" x14ac:dyDescent="0.25">
      <c r="A4" s="17"/>
      <c r="B4" s="17" t="s">
        <v>337</v>
      </c>
      <c r="C4" s="17" t="s">
        <v>338</v>
      </c>
      <c r="D4" s="17" t="s">
        <v>344</v>
      </c>
      <c r="E4" s="17" t="s">
        <v>339</v>
      </c>
      <c r="F4" s="17" t="s">
        <v>340</v>
      </c>
      <c r="G4" s="17" t="s">
        <v>341</v>
      </c>
      <c r="H4" s="17" t="s">
        <v>342</v>
      </c>
      <c r="I4" s="17" t="s">
        <v>343</v>
      </c>
      <c r="J4" s="17" t="s">
        <v>19</v>
      </c>
    </row>
    <row r="5" spans="1:10" x14ac:dyDescent="0.25">
      <c r="A5" s="31" t="s">
        <v>1</v>
      </c>
      <c r="B5" s="17">
        <v>128</v>
      </c>
      <c r="C5" s="17">
        <v>36</v>
      </c>
      <c r="D5" s="17">
        <v>48</v>
      </c>
      <c r="E5" s="17">
        <v>9</v>
      </c>
      <c r="F5" s="17">
        <v>4</v>
      </c>
      <c r="G5" s="17">
        <v>81</v>
      </c>
      <c r="H5" s="17">
        <v>8</v>
      </c>
      <c r="I5" s="17">
        <v>20</v>
      </c>
      <c r="J5" s="17">
        <v>334</v>
      </c>
    </row>
    <row r="6" spans="1:10" hidden="1" x14ac:dyDescent="0.25">
      <c r="A6" s="32"/>
      <c r="B6" s="22">
        <f>B5/J9</f>
        <v>0.15782983970406905</v>
      </c>
      <c r="C6" s="22">
        <f>C5/J9</f>
        <v>4.4389642416769418E-2</v>
      </c>
      <c r="D6" s="22">
        <f>D5/J9</f>
        <v>5.9186189889025895E-2</v>
      </c>
      <c r="E6" s="22">
        <f>E5/J9</f>
        <v>1.1097410604192354E-2</v>
      </c>
      <c r="F6" s="22">
        <f>F5/J9</f>
        <v>4.9321824907521579E-3</v>
      </c>
      <c r="G6" s="22">
        <f>G5/J9</f>
        <v>9.98766954377312E-2</v>
      </c>
      <c r="H6" s="22">
        <f>H5/J9</f>
        <v>9.8643649815043158E-3</v>
      </c>
      <c r="I6" s="22">
        <f>I5/J9</f>
        <v>2.4660912453760789E-2</v>
      </c>
      <c r="J6" s="22">
        <f>SUM(B6:I6)</f>
        <v>0.41183723797780519</v>
      </c>
    </row>
    <row r="7" spans="1:10" x14ac:dyDescent="0.25">
      <c r="A7" s="31" t="s">
        <v>336</v>
      </c>
      <c r="B7" s="17">
        <v>174</v>
      </c>
      <c r="C7" s="17">
        <v>27</v>
      </c>
      <c r="D7" s="17">
        <v>74</v>
      </c>
      <c r="E7" s="17">
        <v>5</v>
      </c>
      <c r="F7" s="17">
        <v>10</v>
      </c>
      <c r="G7" s="17">
        <v>154</v>
      </c>
      <c r="H7" s="17">
        <v>14</v>
      </c>
      <c r="I7" s="17">
        <v>19</v>
      </c>
      <c r="J7" s="17">
        <v>477</v>
      </c>
    </row>
    <row r="8" spans="1:10" hidden="1" x14ac:dyDescent="0.25">
      <c r="A8" s="32"/>
      <c r="B8" s="22">
        <f>B7/J9</f>
        <v>0.21454993834771888</v>
      </c>
      <c r="C8" s="22">
        <f>C7/J9</f>
        <v>3.3292231812577067E-2</v>
      </c>
      <c r="D8" s="22">
        <f>D7/J9</f>
        <v>9.1245376078914919E-2</v>
      </c>
      <c r="E8" s="22">
        <f>E7/J9</f>
        <v>6.1652281134401974E-3</v>
      </c>
      <c r="F8" s="22">
        <f>F7/J9</f>
        <v>1.2330456226880395E-2</v>
      </c>
      <c r="G8" s="22">
        <f>G7/J9</f>
        <v>0.18988902589395806</v>
      </c>
      <c r="H8" s="22">
        <f>H7/J9</f>
        <v>1.7262638717632551E-2</v>
      </c>
      <c r="I8" s="22">
        <f>I7/J9</f>
        <v>2.3427866831072751E-2</v>
      </c>
      <c r="J8" s="22">
        <f>SUM(B8:I8)</f>
        <v>0.58816276202219486</v>
      </c>
    </row>
    <row r="9" spans="1:10" x14ac:dyDescent="0.25">
      <c r="A9" s="17"/>
      <c r="B9" s="33">
        <f t="shared" ref="B9:I9" si="0">SUM(B5:B8)</f>
        <v>302.37237977805177</v>
      </c>
      <c r="C9" s="33">
        <f t="shared" si="0"/>
        <v>63.077681874229341</v>
      </c>
      <c r="D9" s="33">
        <f t="shared" si="0"/>
        <v>122.15043156596795</v>
      </c>
      <c r="E9" s="33">
        <f t="shared" si="0"/>
        <v>14.017262638717632</v>
      </c>
      <c r="F9" s="33">
        <f t="shared" si="0"/>
        <v>14.017262638717632</v>
      </c>
      <c r="G9" s="33">
        <f t="shared" si="0"/>
        <v>235.28976572133169</v>
      </c>
      <c r="H9" s="33">
        <f t="shared" si="0"/>
        <v>22.027127003699135</v>
      </c>
      <c r="I9" s="33">
        <f t="shared" si="0"/>
        <v>39.048088779284832</v>
      </c>
      <c r="J9" s="34">
        <v>811</v>
      </c>
    </row>
    <row r="16" spans="1:10" x14ac:dyDescent="0.25">
      <c r="A16" s="17"/>
      <c r="B16" s="17" t="s">
        <v>337</v>
      </c>
      <c r="C16" s="17" t="s">
        <v>338</v>
      </c>
      <c r="D16" s="17" t="s">
        <v>344</v>
      </c>
      <c r="E16" s="17" t="s">
        <v>339</v>
      </c>
      <c r="F16" s="17" t="s">
        <v>340</v>
      </c>
      <c r="G16" s="17" t="s">
        <v>341</v>
      </c>
      <c r="H16" s="17" t="s">
        <v>342</v>
      </c>
      <c r="I16" s="17" t="s">
        <v>343</v>
      </c>
      <c r="J16" s="17" t="s">
        <v>19</v>
      </c>
    </row>
    <row r="17" spans="1:10" hidden="1" x14ac:dyDescent="0.25">
      <c r="B17" s="17">
        <v>128</v>
      </c>
      <c r="C17" s="17">
        <v>36</v>
      </c>
      <c r="D17" s="17">
        <v>48</v>
      </c>
      <c r="E17" s="17">
        <v>9</v>
      </c>
      <c r="F17" s="17">
        <v>4</v>
      </c>
      <c r="G17" s="17">
        <v>81</v>
      </c>
      <c r="H17" s="17">
        <v>8</v>
      </c>
      <c r="I17" s="17">
        <v>20</v>
      </c>
      <c r="J17" s="17">
        <v>334</v>
      </c>
    </row>
    <row r="18" spans="1:10" x14ac:dyDescent="0.25">
      <c r="A18" s="17" t="s">
        <v>1</v>
      </c>
      <c r="B18" s="22">
        <f>B17/J22</f>
        <v>0.15782983970406905</v>
      </c>
      <c r="C18" s="22">
        <f>C17/J22</f>
        <v>4.4389642416769418E-2</v>
      </c>
      <c r="D18" s="22">
        <f>D17/J22</f>
        <v>5.9186189889025895E-2</v>
      </c>
      <c r="E18" s="22">
        <f>E17/J22</f>
        <v>1.1097410604192354E-2</v>
      </c>
      <c r="F18" s="22">
        <f>F17/J22</f>
        <v>4.9321824907521579E-3</v>
      </c>
      <c r="G18" s="22">
        <f>G17/J22</f>
        <v>9.98766954377312E-2</v>
      </c>
      <c r="H18" s="22">
        <f>H17/J22</f>
        <v>9.8643649815043158E-3</v>
      </c>
      <c r="I18" s="22">
        <f>I17/J22</f>
        <v>2.4660912453760789E-2</v>
      </c>
      <c r="J18" s="22">
        <f>SUM(B18:I18)</f>
        <v>0.41183723797780519</v>
      </c>
    </row>
    <row r="19" spans="1:10" hidden="1" x14ac:dyDescent="0.25">
      <c r="B19" s="22">
        <v>174</v>
      </c>
      <c r="C19" s="22">
        <v>27</v>
      </c>
      <c r="D19" s="22">
        <v>74</v>
      </c>
      <c r="E19" s="22">
        <v>5</v>
      </c>
      <c r="F19" s="22">
        <v>10</v>
      </c>
      <c r="G19" s="22">
        <v>154</v>
      </c>
      <c r="H19" s="22">
        <v>14</v>
      </c>
      <c r="I19" s="22">
        <v>19</v>
      </c>
      <c r="J19" s="22">
        <v>477</v>
      </c>
    </row>
    <row r="20" spans="1:10" x14ac:dyDescent="0.25">
      <c r="A20" s="17" t="s">
        <v>336</v>
      </c>
      <c r="B20" s="22">
        <f>B19/J22</f>
        <v>0.21454993834771888</v>
      </c>
      <c r="C20" s="22">
        <f>C19/J22</f>
        <v>3.3292231812577067E-2</v>
      </c>
      <c r="D20" s="22">
        <f>D19/J22</f>
        <v>9.1245376078914919E-2</v>
      </c>
      <c r="E20" s="22">
        <f>E19/J22</f>
        <v>6.1652281134401974E-3</v>
      </c>
      <c r="F20" s="22">
        <f>F19/J22</f>
        <v>1.2330456226880395E-2</v>
      </c>
      <c r="G20" s="22">
        <f>G19/J22</f>
        <v>0.18988902589395806</v>
      </c>
      <c r="H20" s="22">
        <f>H19/J22</f>
        <v>1.7262638717632551E-2</v>
      </c>
      <c r="I20" s="22">
        <f>I19/J22</f>
        <v>2.3427866831072751E-2</v>
      </c>
      <c r="J20" s="22">
        <f>SUM(B20:I20)</f>
        <v>0.58816276202219486</v>
      </c>
    </row>
    <row r="21" spans="1:10" x14ac:dyDescent="0.25">
      <c r="A21" s="17"/>
      <c r="B21" s="22">
        <v>0.372</v>
      </c>
      <c r="C21" s="22">
        <v>7.8E-2</v>
      </c>
      <c r="D21" s="22">
        <v>0.15</v>
      </c>
      <c r="E21" s="22">
        <v>1.7000000000000001E-2</v>
      </c>
      <c r="F21" s="22">
        <v>1.7000000000000001E-2</v>
      </c>
      <c r="G21" s="22">
        <v>0.28999999999999998</v>
      </c>
      <c r="H21" s="22">
        <v>2.7E-2</v>
      </c>
      <c r="I21" s="22">
        <v>4.8000000000000001E-2</v>
      </c>
      <c r="J21" s="5">
        <v>1</v>
      </c>
    </row>
    <row r="22" spans="1:10" x14ac:dyDescent="0.25">
      <c r="J22" s="18">
        <v>811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E78A-E041-45F2-A64D-C6AA0AC0B6DC}">
  <dimension ref="A3:M14"/>
  <sheetViews>
    <sheetView workbookViewId="0">
      <selection activeCell="A3" sqref="A3:N12"/>
    </sheetView>
  </sheetViews>
  <sheetFormatPr baseColWidth="10" defaultRowHeight="15" x14ac:dyDescent="0.25"/>
  <cols>
    <col min="1" max="1" width="29.85546875" customWidth="1"/>
    <col min="2" max="3" width="18.42578125" customWidth="1"/>
    <col min="4" max="4" width="21" customWidth="1"/>
    <col min="10" max="10" width="0" hidden="1" customWidth="1"/>
    <col min="12" max="12" width="0" hidden="1" customWidth="1"/>
  </cols>
  <sheetData>
    <row r="3" spans="1:13" ht="30" x14ac:dyDescent="0.25">
      <c r="I3" s="18"/>
      <c r="J3" s="8" t="s">
        <v>1</v>
      </c>
      <c r="K3" s="8" t="s">
        <v>346</v>
      </c>
      <c r="L3" s="8" t="s">
        <v>12</v>
      </c>
      <c r="M3" s="8" t="s">
        <v>12</v>
      </c>
    </row>
    <row r="4" spans="1:13" ht="30" x14ac:dyDescent="0.25">
      <c r="A4" s="18"/>
      <c r="B4" s="8" t="s">
        <v>1</v>
      </c>
      <c r="C4" s="8"/>
      <c r="D4" s="8" t="s">
        <v>12</v>
      </c>
      <c r="E4" s="24"/>
      <c r="F4" s="4"/>
      <c r="G4" s="4"/>
      <c r="I4" s="10" t="s">
        <v>55</v>
      </c>
      <c r="J4" s="10">
        <v>233</v>
      </c>
      <c r="K4" s="11">
        <f>J4/K9</f>
        <v>0.28729963008631321</v>
      </c>
      <c r="L4" s="10">
        <v>381</v>
      </c>
      <c r="M4" s="25">
        <f>L4/K9</f>
        <v>0.46979038224414305</v>
      </c>
    </row>
    <row r="5" spans="1:13" ht="75" x14ac:dyDescent="0.25">
      <c r="A5" s="10" t="s">
        <v>55</v>
      </c>
      <c r="B5" s="10">
        <v>233</v>
      </c>
      <c r="C5" s="11">
        <f>B5/C10</f>
        <v>0.28729963008631321</v>
      </c>
      <c r="D5" s="10">
        <v>381</v>
      </c>
      <c r="E5" s="25">
        <f>D5/C10</f>
        <v>0.46979038224414305</v>
      </c>
      <c r="F5" s="4"/>
      <c r="G5" s="4"/>
      <c r="I5" s="10" t="s">
        <v>56</v>
      </c>
      <c r="J5" s="10">
        <v>48</v>
      </c>
      <c r="K5" s="11">
        <f>J5/K9</f>
        <v>5.9186189889025895E-2</v>
      </c>
      <c r="L5" s="10">
        <v>27</v>
      </c>
      <c r="M5" s="25">
        <f>L5/K9</f>
        <v>3.3292231812577067E-2</v>
      </c>
    </row>
    <row r="6" spans="1:13" ht="75" x14ac:dyDescent="0.25">
      <c r="A6" s="10" t="s">
        <v>56</v>
      </c>
      <c r="B6" s="10">
        <v>48</v>
      </c>
      <c r="C6" s="11">
        <f>B6/C10</f>
        <v>5.9186189889025895E-2</v>
      </c>
      <c r="D6" s="10">
        <v>27</v>
      </c>
      <c r="E6" s="25">
        <f>D6/C10</f>
        <v>3.3292231812577067E-2</v>
      </c>
      <c r="F6" s="4"/>
      <c r="G6" s="4"/>
      <c r="I6" s="10" t="s">
        <v>57</v>
      </c>
      <c r="J6" s="10">
        <v>53</v>
      </c>
      <c r="K6" s="11">
        <f>J6/K9</f>
        <v>6.5351418002466091E-2</v>
      </c>
      <c r="L6" s="10">
        <v>66</v>
      </c>
      <c r="M6" s="25">
        <f>L6/K9</f>
        <v>8.138101109741061E-2</v>
      </c>
    </row>
    <row r="7" spans="1:13" ht="30" x14ac:dyDescent="0.25">
      <c r="A7" s="10" t="s">
        <v>57</v>
      </c>
      <c r="B7" s="10">
        <v>53</v>
      </c>
      <c r="C7" s="11">
        <f>B7/C10</f>
        <v>6.5351418002466091E-2</v>
      </c>
      <c r="D7" s="10">
        <v>66</v>
      </c>
      <c r="E7" s="25">
        <f>D7/C10</f>
        <v>8.138101109741061E-2</v>
      </c>
      <c r="F7" s="4"/>
      <c r="G7" s="4"/>
      <c r="I7" s="10" t="s">
        <v>58</v>
      </c>
      <c r="J7" s="17">
        <v>0</v>
      </c>
      <c r="K7" s="22">
        <v>0</v>
      </c>
      <c r="L7" s="17">
        <v>3</v>
      </c>
      <c r="M7" s="25">
        <f>L7/K9</f>
        <v>3.6991368680641184E-3</v>
      </c>
    </row>
    <row r="8" spans="1:13" x14ac:dyDescent="0.25">
      <c r="A8" s="10" t="s">
        <v>58</v>
      </c>
      <c r="B8" s="17">
        <v>0</v>
      </c>
      <c r="C8" s="22">
        <v>0</v>
      </c>
      <c r="D8" s="17">
        <v>3</v>
      </c>
      <c r="E8" s="25">
        <f>D8/C10</f>
        <v>3.6991368680641184E-3</v>
      </c>
      <c r="F8" s="4"/>
      <c r="G8" s="4"/>
      <c r="I8" s="4"/>
      <c r="J8" s="4">
        <f>SUM(J4:J7)</f>
        <v>334</v>
      </c>
      <c r="K8" s="7">
        <f>SUM(K4:K7)</f>
        <v>0.41183723797780519</v>
      </c>
      <c r="L8" s="4">
        <f>SUM(L4:L7)</f>
        <v>477</v>
      </c>
      <c r="M8" s="5">
        <f>SUM(M4:M7)</f>
        <v>0.58816276202219486</v>
      </c>
    </row>
    <row r="9" spans="1:13" x14ac:dyDescent="0.25">
      <c r="A9" s="4"/>
      <c r="B9" s="4">
        <f>SUM(B5:B8)</f>
        <v>334</v>
      </c>
      <c r="C9" s="7">
        <f>SUM(C5:C8)</f>
        <v>0.41183723797780519</v>
      </c>
      <c r="D9" s="4">
        <f>SUM(D5:D8)</f>
        <v>477</v>
      </c>
      <c r="E9" s="5">
        <f>SUM(E5:E8)</f>
        <v>0.58816276202219486</v>
      </c>
      <c r="F9" s="4"/>
      <c r="G9" s="4"/>
      <c r="I9" s="10" t="s">
        <v>345</v>
      </c>
      <c r="J9" s="14"/>
      <c r="K9" s="24">
        <v>811</v>
      </c>
      <c r="L9" s="14"/>
      <c r="M9" s="23">
        <f>SUM(M8+K8)</f>
        <v>1</v>
      </c>
    </row>
    <row r="10" spans="1:13" x14ac:dyDescent="0.25">
      <c r="A10" s="10" t="s">
        <v>345</v>
      </c>
      <c r="B10" s="14"/>
      <c r="C10" s="24">
        <v>811</v>
      </c>
      <c r="D10" s="14"/>
      <c r="E10" s="23">
        <f>SUM(E9+C9)</f>
        <v>1</v>
      </c>
    </row>
    <row r="14" spans="1:13" ht="1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B0A6-4426-4905-8920-4A68938A7C6C}">
  <dimension ref="A1:H27"/>
  <sheetViews>
    <sheetView workbookViewId="0">
      <selection activeCell="O27" sqref="A1:O27"/>
    </sheetView>
  </sheetViews>
  <sheetFormatPr baseColWidth="10" defaultRowHeight="15" x14ac:dyDescent="0.25"/>
  <cols>
    <col min="2" max="2" width="13" bestFit="1" customWidth="1"/>
  </cols>
  <sheetData>
    <row r="1" spans="1:8" x14ac:dyDescent="0.25">
      <c r="A1" s="3" t="s">
        <v>63</v>
      </c>
    </row>
    <row r="2" spans="1:8" x14ac:dyDescent="0.25">
      <c r="A2" s="1"/>
      <c r="B2" s="1"/>
      <c r="C2" s="1"/>
      <c r="D2" s="1" t="s">
        <v>19</v>
      </c>
    </row>
    <row r="3" spans="1:8" ht="30" x14ac:dyDescent="0.25">
      <c r="A3" s="1"/>
      <c r="B3" s="1"/>
      <c r="C3" s="1"/>
      <c r="D3" s="1" t="s">
        <v>64</v>
      </c>
      <c r="E3" s="1" t="s">
        <v>65</v>
      </c>
      <c r="F3" s="1" t="s">
        <v>66</v>
      </c>
      <c r="G3" s="1" t="s">
        <v>67</v>
      </c>
      <c r="H3" s="2"/>
    </row>
    <row r="4" spans="1:8" x14ac:dyDescent="0.25">
      <c r="A4" s="53" t="s">
        <v>0</v>
      </c>
      <c r="B4" s="53" t="s">
        <v>1</v>
      </c>
      <c r="C4" s="1" t="s">
        <v>2</v>
      </c>
      <c r="D4" s="2">
        <v>20</v>
      </c>
      <c r="E4" s="2">
        <v>42</v>
      </c>
      <c r="F4" s="2">
        <v>271</v>
      </c>
      <c r="G4" s="2">
        <v>1</v>
      </c>
      <c r="H4" s="2">
        <v>334</v>
      </c>
    </row>
    <row r="5" spans="1:8" x14ac:dyDescent="0.25">
      <c r="A5" s="53"/>
      <c r="B5" s="53"/>
      <c r="C5" s="1" t="s">
        <v>3</v>
      </c>
      <c r="D5" s="2" t="s">
        <v>68</v>
      </c>
      <c r="E5" s="2" t="s">
        <v>69</v>
      </c>
      <c r="F5" s="2" t="s">
        <v>70</v>
      </c>
      <c r="G5" s="2" t="s">
        <v>27</v>
      </c>
      <c r="H5" s="2" t="s">
        <v>5</v>
      </c>
    </row>
    <row r="6" spans="1:8" ht="30" x14ac:dyDescent="0.25">
      <c r="A6" s="53"/>
      <c r="B6" s="53"/>
      <c r="C6" s="1" t="s">
        <v>6</v>
      </c>
      <c r="D6" s="2" t="s">
        <v>71</v>
      </c>
      <c r="E6" s="2" t="s">
        <v>72</v>
      </c>
      <c r="F6" s="2" t="s">
        <v>8</v>
      </c>
      <c r="G6" s="2" t="s">
        <v>5</v>
      </c>
      <c r="H6" s="2" t="s">
        <v>8</v>
      </c>
    </row>
    <row r="7" spans="1:8" x14ac:dyDescent="0.25">
      <c r="A7" s="53"/>
      <c r="B7" s="53"/>
      <c r="C7" s="1" t="s">
        <v>9</v>
      </c>
      <c r="D7" s="2" t="s">
        <v>22</v>
      </c>
      <c r="E7" s="2" t="s">
        <v>73</v>
      </c>
      <c r="F7" s="2" t="s">
        <v>74</v>
      </c>
      <c r="G7" s="2" t="s">
        <v>40</v>
      </c>
      <c r="H7" s="2" t="s">
        <v>8</v>
      </c>
    </row>
    <row r="8" spans="1:8" x14ac:dyDescent="0.25">
      <c r="A8" s="53"/>
      <c r="B8" s="53" t="s">
        <v>12</v>
      </c>
      <c r="C8" s="1" t="s">
        <v>2</v>
      </c>
      <c r="D8" s="2">
        <v>17</v>
      </c>
      <c r="E8" s="2">
        <v>62</v>
      </c>
      <c r="F8" s="2">
        <v>398</v>
      </c>
      <c r="G8" s="2">
        <v>0</v>
      </c>
      <c r="H8" s="2">
        <v>477</v>
      </c>
    </row>
    <row r="9" spans="1:8" x14ac:dyDescent="0.25">
      <c r="A9" s="53"/>
      <c r="B9" s="53"/>
      <c r="C9" s="1" t="s">
        <v>3</v>
      </c>
      <c r="D9" s="2" t="s">
        <v>42</v>
      </c>
      <c r="E9" s="2" t="s">
        <v>75</v>
      </c>
      <c r="F9" s="2" t="s">
        <v>76</v>
      </c>
      <c r="G9" s="2" t="s">
        <v>26</v>
      </c>
      <c r="H9" s="2" t="s">
        <v>5</v>
      </c>
    </row>
    <row r="10" spans="1:8" ht="30" x14ac:dyDescent="0.25">
      <c r="A10" s="53"/>
      <c r="B10" s="53"/>
      <c r="C10" s="1" t="s">
        <v>6</v>
      </c>
      <c r="D10" s="2" t="s">
        <v>77</v>
      </c>
      <c r="E10" s="2" t="s">
        <v>78</v>
      </c>
      <c r="F10" s="2" t="s">
        <v>79</v>
      </c>
      <c r="G10" s="2" t="s">
        <v>26</v>
      </c>
      <c r="H10" s="2" t="s">
        <v>16</v>
      </c>
    </row>
    <row r="11" spans="1:8" x14ac:dyDescent="0.25">
      <c r="A11" s="53"/>
      <c r="B11" s="53"/>
      <c r="C11" s="1" t="s">
        <v>9</v>
      </c>
      <c r="D11" s="2" t="s">
        <v>46</v>
      </c>
      <c r="E11" s="2" t="s">
        <v>80</v>
      </c>
      <c r="F11" s="2" t="s">
        <v>81</v>
      </c>
      <c r="G11" s="2" t="s">
        <v>26</v>
      </c>
      <c r="H11" s="2" t="s">
        <v>16</v>
      </c>
    </row>
    <row r="17" spans="1:5" ht="30" x14ac:dyDescent="0.25">
      <c r="A17" s="1"/>
      <c r="B17" s="1" t="s">
        <v>64</v>
      </c>
      <c r="C17" s="1" t="s">
        <v>65</v>
      </c>
      <c r="D17" s="1" t="s">
        <v>66</v>
      </c>
      <c r="E17" s="2"/>
    </row>
    <row r="18" spans="1:5" x14ac:dyDescent="0.25">
      <c r="A18" s="1" t="s">
        <v>1</v>
      </c>
      <c r="B18" s="2">
        <v>20</v>
      </c>
      <c r="C18" s="2">
        <v>42</v>
      </c>
      <c r="D18" s="2">
        <v>271</v>
      </c>
      <c r="E18" s="2">
        <v>334</v>
      </c>
    </row>
    <row r="19" spans="1:5" ht="15" customHeight="1" x14ac:dyDescent="0.25">
      <c r="A19" s="1" t="s">
        <v>12</v>
      </c>
      <c r="B19" s="2">
        <v>17</v>
      </c>
      <c r="C19" s="2">
        <v>62</v>
      </c>
      <c r="D19" s="2">
        <v>398</v>
      </c>
      <c r="E19" s="2">
        <v>477</v>
      </c>
    </row>
    <row r="20" spans="1:5" x14ac:dyDescent="0.25">
      <c r="B20">
        <f>SUM(B18:B19)</f>
        <v>37</v>
      </c>
      <c r="C20">
        <f>SUM(C18:C19)</f>
        <v>104</v>
      </c>
      <c r="D20">
        <f>SUM(D18:D19)</f>
        <v>669</v>
      </c>
      <c r="E20">
        <f>SUM(E18:E19)</f>
        <v>811</v>
      </c>
    </row>
    <row r="23" spans="1:5" ht="30" x14ac:dyDescent="0.25">
      <c r="A23" s="1"/>
      <c r="B23" s="1" t="s">
        <v>64</v>
      </c>
      <c r="C23" s="1" t="s">
        <v>65</v>
      </c>
      <c r="D23" s="1" t="s">
        <v>66</v>
      </c>
      <c r="E23" s="2"/>
    </row>
    <row r="24" spans="1:5" x14ac:dyDescent="0.25">
      <c r="A24" s="1" t="s">
        <v>1</v>
      </c>
      <c r="B24" s="6">
        <f>B18/E20</f>
        <v>2.4660912453760789E-2</v>
      </c>
      <c r="C24" s="6">
        <f>C18/E20</f>
        <v>5.1787916152897656E-2</v>
      </c>
      <c r="D24" s="6">
        <f>D18/E20</f>
        <v>0.33415536374845867</v>
      </c>
      <c r="E24" s="6">
        <f>SUM(B24:D24)</f>
        <v>0.41060419235511714</v>
      </c>
    </row>
    <row r="25" spans="1:5" ht="30" x14ac:dyDescent="0.25">
      <c r="A25" s="1" t="s">
        <v>12</v>
      </c>
      <c r="B25" s="6">
        <f>B19/E20</f>
        <v>2.096177558569667E-2</v>
      </c>
      <c r="C25" s="6">
        <f>C19/E20</f>
        <v>7.6448828606658442E-2</v>
      </c>
      <c r="D25" s="6">
        <f>D19/E20</f>
        <v>0.49075215782983972</v>
      </c>
      <c r="E25" s="6">
        <f>SUM(B25:D25)</f>
        <v>0.58816276202219486</v>
      </c>
    </row>
    <row r="26" spans="1:5" x14ac:dyDescent="0.25">
      <c r="B26" s="5">
        <f>SUM(B24:B25)</f>
        <v>4.562268803945746E-2</v>
      </c>
      <c r="C26" s="5">
        <f>SUM(C24:C25)</f>
        <v>0.1282367447595561</v>
      </c>
      <c r="D26" s="5">
        <f>SUM(D24:D25)</f>
        <v>0.82490752157829839</v>
      </c>
      <c r="E26" s="5">
        <f>SUM(E24:E25)</f>
        <v>0.998766954377312</v>
      </c>
    </row>
    <row r="27" spans="1:5" x14ac:dyDescent="0.25">
      <c r="B27" s="5"/>
      <c r="C27" s="5"/>
      <c r="D27" s="5"/>
      <c r="E27" s="5"/>
    </row>
  </sheetData>
  <mergeCells count="3">
    <mergeCell ref="A4:A11"/>
    <mergeCell ref="B4:B7"/>
    <mergeCell ref="B8:B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BA77-AA40-4FEB-AB8E-70686030127B}">
  <dimension ref="A1:F16"/>
  <sheetViews>
    <sheetView workbookViewId="0">
      <selection activeCell="G19" sqref="A1:G19"/>
    </sheetView>
  </sheetViews>
  <sheetFormatPr baseColWidth="10" defaultRowHeight="15" x14ac:dyDescent="0.25"/>
  <sheetData>
    <row r="1" spans="1:6" x14ac:dyDescent="0.25">
      <c r="A1" s="3" t="s">
        <v>82</v>
      </c>
    </row>
    <row r="4" spans="1:6" x14ac:dyDescent="0.25">
      <c r="A4" s="1"/>
      <c r="B4" s="1" t="s">
        <v>83</v>
      </c>
      <c r="C4" s="1" t="s">
        <v>84</v>
      </c>
      <c r="D4" s="1" t="s">
        <v>66</v>
      </c>
      <c r="E4" s="2"/>
    </row>
    <row r="5" spans="1:6" x14ac:dyDescent="0.25">
      <c r="A5" s="1" t="s">
        <v>1</v>
      </c>
      <c r="B5" s="2">
        <v>47</v>
      </c>
      <c r="C5" s="2">
        <v>10</v>
      </c>
      <c r="D5" s="2">
        <v>276</v>
      </c>
      <c r="E5" s="2">
        <v>334</v>
      </c>
    </row>
    <row r="6" spans="1:6" ht="15" customHeight="1" x14ac:dyDescent="0.25">
      <c r="A6" s="1" t="s">
        <v>12</v>
      </c>
      <c r="B6" s="2">
        <v>50</v>
      </c>
      <c r="C6" s="2">
        <v>13</v>
      </c>
      <c r="D6" s="2">
        <v>414</v>
      </c>
      <c r="E6" s="2">
        <v>477</v>
      </c>
    </row>
    <row r="7" spans="1:6" x14ac:dyDescent="0.25">
      <c r="B7">
        <f>SUM(B5:B6)</f>
        <v>97</v>
      </c>
      <c r="C7">
        <f>SUM(C5:C6)</f>
        <v>23</v>
      </c>
      <c r="D7">
        <f>SUM(D5:D6)</f>
        <v>690</v>
      </c>
      <c r="E7">
        <f>SUM(E5:E6)</f>
        <v>811</v>
      </c>
    </row>
    <row r="9" spans="1:6" x14ac:dyDescent="0.25">
      <c r="A9" s="1"/>
      <c r="B9" s="1" t="s">
        <v>83</v>
      </c>
      <c r="C9" s="1" t="s">
        <v>84</v>
      </c>
      <c r="D9" s="1" t="s">
        <v>66</v>
      </c>
      <c r="E9" s="2"/>
    </row>
    <row r="10" spans="1:6" x14ac:dyDescent="0.25">
      <c r="A10" s="1" t="s">
        <v>1</v>
      </c>
      <c r="B10" s="6">
        <f>B5/E7</f>
        <v>5.7953144266337853E-2</v>
      </c>
      <c r="C10" s="6">
        <f>C5/E7</f>
        <v>1.2330456226880395E-2</v>
      </c>
      <c r="D10" s="6">
        <f>D5/E7</f>
        <v>0.34032059186189889</v>
      </c>
      <c r="E10" s="6">
        <f>SUM(B10:D10)</f>
        <v>0.41060419235511714</v>
      </c>
      <c r="F10" s="5"/>
    </row>
    <row r="11" spans="1:6" ht="30" x14ac:dyDescent="0.25">
      <c r="A11" s="1" t="s">
        <v>12</v>
      </c>
      <c r="B11" s="6">
        <f>B6/E7</f>
        <v>6.1652281134401972E-2</v>
      </c>
      <c r="C11" s="6">
        <f>C6/E7</f>
        <v>1.6029593094944512E-2</v>
      </c>
      <c r="D11" s="6">
        <f>D6/E7</f>
        <v>0.51048088779284828</v>
      </c>
      <c r="E11" s="6">
        <f>SUM(B11:D11)</f>
        <v>0.58816276202219475</v>
      </c>
      <c r="F11" s="5"/>
    </row>
    <row r="12" spans="1:6" x14ac:dyDescent="0.25">
      <c r="B12" s="5">
        <f>SUM(B10:B11)</f>
        <v>0.11960542540073982</v>
      </c>
      <c r="C12" s="5">
        <f>SUM(C10:C11)</f>
        <v>2.8360049321824905E-2</v>
      </c>
      <c r="D12" s="5">
        <f>SUM(D10:D11)</f>
        <v>0.85080147965474717</v>
      </c>
      <c r="E12" s="5">
        <f>SUM(E10:E11)</f>
        <v>0.99876695437731189</v>
      </c>
      <c r="F12" s="5"/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2537-723F-4FF9-9D7F-697366D900DB}">
  <dimension ref="A1:E13"/>
  <sheetViews>
    <sheetView workbookViewId="0">
      <selection activeCell="H19" sqref="A1:H19"/>
    </sheetView>
  </sheetViews>
  <sheetFormatPr baseColWidth="10" defaultRowHeight="15" x14ac:dyDescent="0.25"/>
  <cols>
    <col min="3" max="3" width="13" bestFit="1" customWidth="1"/>
  </cols>
  <sheetData>
    <row r="1" spans="1:5" x14ac:dyDescent="0.25">
      <c r="A1" s="3" t="s">
        <v>86</v>
      </c>
    </row>
    <row r="4" spans="1:5" ht="105" x14ac:dyDescent="0.25">
      <c r="A4" s="8"/>
      <c r="B4" s="8"/>
      <c r="C4" s="8" t="s">
        <v>87</v>
      </c>
      <c r="D4" s="8" t="s">
        <v>88</v>
      </c>
      <c r="E4" s="10" t="s">
        <v>19</v>
      </c>
    </row>
    <row r="5" spans="1:5" x14ac:dyDescent="0.25">
      <c r="A5" s="8" t="s">
        <v>1</v>
      </c>
      <c r="B5" s="8" t="s">
        <v>2</v>
      </c>
      <c r="C5" s="10">
        <v>324</v>
      </c>
      <c r="D5" s="10">
        <v>10</v>
      </c>
      <c r="E5" s="10">
        <v>334</v>
      </c>
    </row>
    <row r="6" spans="1:5" ht="15" customHeight="1" x14ac:dyDescent="0.25">
      <c r="A6" s="8" t="s">
        <v>12</v>
      </c>
      <c r="B6" s="8" t="s">
        <v>2</v>
      </c>
      <c r="C6" s="10">
        <v>451</v>
      </c>
      <c r="D6" s="10">
        <v>26</v>
      </c>
      <c r="E6" s="10">
        <v>477</v>
      </c>
    </row>
    <row r="7" spans="1:5" x14ac:dyDescent="0.25">
      <c r="A7" s="8"/>
      <c r="B7" s="8"/>
      <c r="C7" s="10">
        <f>SUM(C5:C6)</f>
        <v>775</v>
      </c>
      <c r="D7" s="10">
        <f>SUM(D5:D6)</f>
        <v>36</v>
      </c>
      <c r="E7" s="10">
        <f>SUM(E5:E6)</f>
        <v>811</v>
      </c>
    </row>
    <row r="8" spans="1:5" x14ac:dyDescent="0.25">
      <c r="A8" s="1"/>
      <c r="B8" s="1"/>
      <c r="C8" s="2"/>
      <c r="D8" s="2"/>
      <c r="E8" s="2"/>
    </row>
    <row r="9" spans="1:5" ht="105" x14ac:dyDescent="0.25">
      <c r="A9" s="26"/>
      <c r="B9" s="26"/>
      <c r="C9" s="26" t="s">
        <v>87</v>
      </c>
      <c r="D9" s="26" t="s">
        <v>88</v>
      </c>
      <c r="E9" s="27" t="s">
        <v>19</v>
      </c>
    </row>
    <row r="10" spans="1:5" x14ac:dyDescent="0.25">
      <c r="A10" s="26" t="s">
        <v>1</v>
      </c>
      <c r="B10" s="28" t="s">
        <v>331</v>
      </c>
      <c r="C10" s="29">
        <f>C5/811</f>
        <v>0.3995067817509248</v>
      </c>
      <c r="D10" s="29">
        <f>D5/E7</f>
        <v>1.2330456226880395E-2</v>
      </c>
      <c r="E10" s="29">
        <f>SUM(C10:D10)</f>
        <v>0.41183723797780519</v>
      </c>
    </row>
    <row r="11" spans="1:5" ht="30" x14ac:dyDescent="0.25">
      <c r="A11" s="26" t="s">
        <v>12</v>
      </c>
      <c r="B11" s="28" t="s">
        <v>331</v>
      </c>
      <c r="C11" s="29">
        <f>C6/E7</f>
        <v>0.55610357583230574</v>
      </c>
      <c r="D11" s="29">
        <f>D6/E7</f>
        <v>3.2059186189889025E-2</v>
      </c>
      <c r="E11" s="29">
        <f>SUM(C11:D11)</f>
        <v>0.58816276202219475</v>
      </c>
    </row>
    <row r="12" spans="1:5" x14ac:dyDescent="0.25">
      <c r="A12" s="14"/>
      <c r="B12" s="23"/>
      <c r="C12" s="23">
        <f>SUM(C10:C11)</f>
        <v>0.95561035758323054</v>
      </c>
      <c r="D12" s="23">
        <f>SUM(D10:D11)</f>
        <v>4.4389642416769418E-2</v>
      </c>
      <c r="E12" s="23">
        <f>SUM(E10:E11)</f>
        <v>1</v>
      </c>
    </row>
    <row r="13" spans="1:5" x14ac:dyDescent="0.25">
      <c r="B13" s="5"/>
      <c r="C13" s="5"/>
      <c r="D13" s="5"/>
      <c r="E1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81B3-9E06-4958-B9BB-B6E8B39119FB}">
  <dimension ref="A1:E11"/>
  <sheetViews>
    <sheetView workbookViewId="0">
      <selection activeCell="F17" sqref="A1:F17"/>
    </sheetView>
  </sheetViews>
  <sheetFormatPr baseColWidth="10" defaultRowHeight="15" x14ac:dyDescent="0.25"/>
  <cols>
    <col min="3" max="3" width="13" bestFit="1" customWidth="1"/>
  </cols>
  <sheetData>
    <row r="1" spans="1:5" x14ac:dyDescent="0.25">
      <c r="A1" s="3" t="s">
        <v>93</v>
      </c>
    </row>
    <row r="3" spans="1:5" ht="90" x14ac:dyDescent="0.25">
      <c r="A3" s="27"/>
      <c r="B3" s="27"/>
      <c r="C3" s="27" t="s">
        <v>94</v>
      </c>
      <c r="D3" s="27" t="s">
        <v>95</v>
      </c>
      <c r="E3" s="27" t="s">
        <v>19</v>
      </c>
    </row>
    <row r="4" spans="1:5" x14ac:dyDescent="0.25">
      <c r="A4" s="27" t="s">
        <v>1</v>
      </c>
      <c r="B4" s="27" t="s">
        <v>2</v>
      </c>
      <c r="C4" s="27">
        <v>323</v>
      </c>
      <c r="D4" s="27">
        <v>11</v>
      </c>
      <c r="E4" s="27">
        <v>334</v>
      </c>
    </row>
    <row r="5" spans="1:5" ht="15" customHeight="1" x14ac:dyDescent="0.25">
      <c r="A5" s="27" t="s">
        <v>12</v>
      </c>
      <c r="B5" s="27" t="s">
        <v>2</v>
      </c>
      <c r="C5" s="27">
        <v>469</v>
      </c>
      <c r="D5" s="27">
        <v>6</v>
      </c>
      <c r="E5" s="27">
        <v>477</v>
      </c>
    </row>
    <row r="6" spans="1:5" x14ac:dyDescent="0.25">
      <c r="A6" s="14"/>
      <c r="B6" s="14"/>
      <c r="C6" s="14">
        <f>SUM(C4:C5)</f>
        <v>792</v>
      </c>
      <c r="D6" s="14">
        <f>SUM(D4:D5)</f>
        <v>17</v>
      </c>
      <c r="E6" s="14">
        <f>SUM(E4:E5)</f>
        <v>811</v>
      </c>
    </row>
    <row r="8" spans="1:5" ht="90" x14ac:dyDescent="0.25">
      <c r="A8" s="27"/>
      <c r="B8" s="27"/>
      <c r="C8" s="27" t="s">
        <v>94</v>
      </c>
      <c r="D8" s="27" t="s">
        <v>95</v>
      </c>
      <c r="E8" s="27" t="s">
        <v>19</v>
      </c>
    </row>
    <row r="9" spans="1:5" x14ac:dyDescent="0.25">
      <c r="A9" s="27" t="s">
        <v>1</v>
      </c>
      <c r="B9" s="27" t="s">
        <v>331</v>
      </c>
      <c r="C9" s="29">
        <f>C4/811</f>
        <v>0.39827373612823674</v>
      </c>
      <c r="D9" s="29">
        <f>D4/E6</f>
        <v>1.3563501849568433E-2</v>
      </c>
      <c r="E9" s="29">
        <f>SUM(C9:D9)</f>
        <v>0.41183723797780519</v>
      </c>
    </row>
    <row r="10" spans="1:5" ht="30" x14ac:dyDescent="0.25">
      <c r="A10" s="27" t="s">
        <v>12</v>
      </c>
      <c r="B10" s="27" t="s">
        <v>331</v>
      </c>
      <c r="C10" s="29">
        <f>C5/E6</f>
        <v>0.57829839704069053</v>
      </c>
      <c r="D10" s="29">
        <f>D5/E6</f>
        <v>7.3982737361282368E-3</v>
      </c>
      <c r="E10" s="29">
        <f>SUM(C10:D10)</f>
        <v>0.58569667077681875</v>
      </c>
    </row>
    <row r="11" spans="1:5" x14ac:dyDescent="0.25">
      <c r="A11" s="14"/>
      <c r="B11" s="14"/>
      <c r="C11" s="23">
        <f>SUM(C9:C10)</f>
        <v>0.97657213316892721</v>
      </c>
      <c r="D11" s="23">
        <f>SUM(D9:D10)</f>
        <v>2.096177558569667E-2</v>
      </c>
      <c r="E11" s="23">
        <f>SUM(E9:E10)</f>
        <v>0.997533908754624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F568-42B5-442B-A267-7C8D267FEDAD}">
  <dimension ref="A1:E25"/>
  <sheetViews>
    <sheetView workbookViewId="0">
      <selection activeCell="F26" sqref="A1:F26"/>
    </sheetView>
  </sheetViews>
  <sheetFormatPr baseColWidth="10" defaultRowHeight="15" x14ac:dyDescent="0.25"/>
  <cols>
    <col min="5" max="5" width="13" bestFit="1" customWidth="1"/>
    <col min="7" max="8" width="13" bestFit="1" customWidth="1"/>
  </cols>
  <sheetData>
    <row r="1" spans="1:5" x14ac:dyDescent="0.25">
      <c r="A1" s="3" t="s">
        <v>97</v>
      </c>
    </row>
    <row r="4" spans="1:5" x14ac:dyDescent="0.25">
      <c r="B4" s="1"/>
      <c r="C4" s="1"/>
      <c r="D4" s="1"/>
      <c r="E4" s="1"/>
    </row>
    <row r="5" spans="1:5" ht="30" x14ac:dyDescent="0.25">
      <c r="A5" s="1"/>
      <c r="B5" s="1" t="s">
        <v>98</v>
      </c>
      <c r="C5" s="1" t="s">
        <v>99</v>
      </c>
      <c r="D5" s="2" t="s">
        <v>345</v>
      </c>
    </row>
    <row r="6" spans="1:5" x14ac:dyDescent="0.25">
      <c r="A6" s="1" t="s">
        <v>1</v>
      </c>
      <c r="B6" s="2">
        <v>331</v>
      </c>
      <c r="C6" s="2">
        <v>3</v>
      </c>
      <c r="D6" s="2">
        <v>334</v>
      </c>
    </row>
    <row r="7" spans="1:5" hidden="1" x14ac:dyDescent="0.25">
      <c r="A7" s="1"/>
      <c r="B7" s="6">
        <f>B6/D11</f>
        <v>0.40813810110974108</v>
      </c>
      <c r="C7" s="6">
        <f>C6/D11</f>
        <v>3.6991368680641184E-3</v>
      </c>
      <c r="D7" s="6">
        <f>SUM(B7:C7)</f>
        <v>0.41183723797780519</v>
      </c>
    </row>
    <row r="8" spans="1:5" ht="15" customHeight="1" x14ac:dyDescent="0.25">
      <c r="A8" s="1" t="s">
        <v>12</v>
      </c>
      <c r="B8" s="2">
        <v>474</v>
      </c>
      <c r="C8" s="2">
        <v>3</v>
      </c>
      <c r="D8" s="2">
        <v>477</v>
      </c>
    </row>
    <row r="9" spans="1:5" hidden="1" x14ac:dyDescent="0.25">
      <c r="A9" s="1"/>
      <c r="B9" s="6">
        <f>B8/D11</f>
        <v>0.58446362515413075</v>
      </c>
      <c r="C9" s="6">
        <f>C8/D11</f>
        <v>3.6991368680641184E-3</v>
      </c>
      <c r="D9" s="6">
        <f>D8/D11</f>
        <v>0.58816276202219486</v>
      </c>
    </row>
    <row r="11" spans="1:5" x14ac:dyDescent="0.25">
      <c r="D11">
        <v>811</v>
      </c>
    </row>
    <row r="19" spans="2:5" ht="30" x14ac:dyDescent="0.25">
      <c r="B19" s="1"/>
      <c r="C19" s="1" t="s">
        <v>98</v>
      </c>
      <c r="D19" s="1" t="s">
        <v>99</v>
      </c>
      <c r="E19" s="2" t="s">
        <v>345</v>
      </c>
    </row>
    <row r="20" spans="2:5" hidden="1" x14ac:dyDescent="0.25">
      <c r="B20" s="1" t="s">
        <v>1</v>
      </c>
      <c r="C20" s="2">
        <v>331</v>
      </c>
      <c r="D20" s="2">
        <v>3</v>
      </c>
      <c r="E20" s="2">
        <v>334</v>
      </c>
    </row>
    <row r="21" spans="2:5" x14ac:dyDescent="0.25">
      <c r="B21" s="1" t="s">
        <v>1</v>
      </c>
      <c r="C21" s="6">
        <f>C20/E25</f>
        <v>0.40813810110974108</v>
      </c>
      <c r="D21" s="6">
        <f>D20/E25</f>
        <v>3.6991368680641184E-3</v>
      </c>
      <c r="E21" s="6">
        <f>SUM(C21:D21)</f>
        <v>0.41183723797780519</v>
      </c>
    </row>
    <row r="22" spans="2:5" ht="30" hidden="1" x14ac:dyDescent="0.25">
      <c r="B22" s="1" t="s">
        <v>12</v>
      </c>
      <c r="C22" s="2">
        <v>474</v>
      </c>
      <c r="D22" s="2">
        <v>3</v>
      </c>
      <c r="E22" s="2">
        <v>477</v>
      </c>
    </row>
    <row r="23" spans="2:5" ht="30" x14ac:dyDescent="0.25">
      <c r="B23" s="1" t="s">
        <v>12</v>
      </c>
      <c r="C23" s="6">
        <f>C22/E25</f>
        <v>0.58446362515413075</v>
      </c>
      <c r="D23" s="6">
        <f>D22/E25</f>
        <v>3.6991368680641184E-3</v>
      </c>
      <c r="E23" s="6">
        <f>E22/E25</f>
        <v>0.58816276202219486</v>
      </c>
    </row>
    <row r="25" spans="2:5" x14ac:dyDescent="0.25">
      <c r="E25">
        <v>811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2B49-DC41-4F1A-9D37-5A49FB0229E6}">
  <dimension ref="A1:G11"/>
  <sheetViews>
    <sheetView workbookViewId="0">
      <selection activeCell="J25" sqref="J25"/>
    </sheetView>
  </sheetViews>
  <sheetFormatPr baseColWidth="10" defaultRowHeight="15" x14ac:dyDescent="0.25"/>
  <sheetData>
    <row r="1" spans="1:7" x14ac:dyDescent="0.25">
      <c r="A1" s="3" t="s">
        <v>102</v>
      </c>
    </row>
    <row r="2" spans="1:7" x14ac:dyDescent="0.25">
      <c r="A2" s="1"/>
      <c r="B2" s="1"/>
      <c r="C2" s="1"/>
      <c r="D2" s="1" t="s">
        <v>19</v>
      </c>
    </row>
    <row r="3" spans="1:7" ht="30" x14ac:dyDescent="0.25">
      <c r="A3" s="1"/>
      <c r="B3" s="1"/>
      <c r="C3" s="1"/>
      <c r="D3" s="1" t="s">
        <v>103</v>
      </c>
      <c r="E3" s="1" t="s">
        <v>104</v>
      </c>
      <c r="F3" s="1" t="s">
        <v>89</v>
      </c>
      <c r="G3" s="2"/>
    </row>
    <row r="4" spans="1:7" x14ac:dyDescent="0.25">
      <c r="A4" s="53" t="s">
        <v>0</v>
      </c>
      <c r="B4" s="53" t="s">
        <v>1</v>
      </c>
      <c r="C4" s="1" t="s">
        <v>2</v>
      </c>
      <c r="D4" s="2">
        <v>331</v>
      </c>
      <c r="E4" s="2">
        <v>2</v>
      </c>
      <c r="F4" s="2">
        <v>0</v>
      </c>
      <c r="G4" s="2">
        <v>333</v>
      </c>
    </row>
    <row r="5" spans="1:7" x14ac:dyDescent="0.25">
      <c r="A5" s="53"/>
      <c r="B5" s="53"/>
      <c r="C5" s="1" t="s">
        <v>3</v>
      </c>
      <c r="D5" s="2" t="s">
        <v>105</v>
      </c>
      <c r="E5" s="2" t="s">
        <v>61</v>
      </c>
      <c r="F5" s="2" t="s">
        <v>26</v>
      </c>
      <c r="G5" s="2" t="s">
        <v>5</v>
      </c>
    </row>
    <row r="6" spans="1:7" ht="30" x14ac:dyDescent="0.25">
      <c r="A6" s="53"/>
      <c r="B6" s="53"/>
      <c r="C6" s="1" t="s">
        <v>6</v>
      </c>
      <c r="D6" s="2" t="s">
        <v>15</v>
      </c>
      <c r="E6" s="2" t="s">
        <v>5</v>
      </c>
      <c r="F6" s="2" t="s">
        <v>26</v>
      </c>
      <c r="G6" s="2" t="s">
        <v>100</v>
      </c>
    </row>
    <row r="7" spans="1:7" x14ac:dyDescent="0.25">
      <c r="A7" s="53"/>
      <c r="B7" s="53"/>
      <c r="C7" s="1" t="s">
        <v>9</v>
      </c>
      <c r="D7" s="2" t="s">
        <v>96</v>
      </c>
      <c r="E7" s="2" t="s">
        <v>45</v>
      </c>
      <c r="F7" s="2" t="s">
        <v>26</v>
      </c>
      <c r="G7" s="2" t="s">
        <v>100</v>
      </c>
    </row>
    <row r="8" spans="1:7" x14ac:dyDescent="0.25">
      <c r="A8" s="53"/>
      <c r="B8" s="53" t="s">
        <v>12</v>
      </c>
      <c r="C8" s="1" t="s">
        <v>2</v>
      </c>
      <c r="D8" s="2">
        <v>475</v>
      </c>
      <c r="E8" s="2">
        <v>0</v>
      </c>
      <c r="F8" s="2">
        <v>2</v>
      </c>
      <c r="G8" s="2">
        <v>477</v>
      </c>
    </row>
    <row r="9" spans="1:7" x14ac:dyDescent="0.25">
      <c r="A9" s="53"/>
      <c r="B9" s="53"/>
      <c r="C9" s="1" t="s">
        <v>3</v>
      </c>
      <c r="D9" s="2" t="s">
        <v>106</v>
      </c>
      <c r="E9" s="2" t="s">
        <v>26</v>
      </c>
      <c r="F9" s="2" t="s">
        <v>39</v>
      </c>
      <c r="G9" s="2" t="s">
        <v>5</v>
      </c>
    </row>
    <row r="10" spans="1:7" ht="30" x14ac:dyDescent="0.25">
      <c r="A10" s="53"/>
      <c r="B10" s="53"/>
      <c r="C10" s="1" t="s">
        <v>6</v>
      </c>
      <c r="D10" s="2" t="s">
        <v>107</v>
      </c>
      <c r="E10" s="2" t="s">
        <v>26</v>
      </c>
      <c r="F10" s="2" t="s">
        <v>5</v>
      </c>
      <c r="G10" s="2" t="s">
        <v>107</v>
      </c>
    </row>
    <row r="11" spans="1:7" x14ac:dyDescent="0.25">
      <c r="A11" s="53"/>
      <c r="B11" s="53"/>
      <c r="C11" s="1" t="s">
        <v>9</v>
      </c>
      <c r="D11" s="2" t="s">
        <v>78</v>
      </c>
      <c r="E11" s="2" t="s">
        <v>26</v>
      </c>
      <c r="F11" s="2" t="s">
        <v>45</v>
      </c>
      <c r="G11" s="2" t="s">
        <v>107</v>
      </c>
    </row>
  </sheetData>
  <mergeCells count="3">
    <mergeCell ref="A4:A11"/>
    <mergeCell ref="B4:B7"/>
    <mergeCell ref="B8:B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FE08-7E1A-4896-851C-0172CAE8CF09}">
  <dimension ref="A1:G34"/>
  <sheetViews>
    <sheetView topLeftCell="A13" workbookViewId="0">
      <selection activeCell="G29" sqref="A17:G29"/>
    </sheetView>
  </sheetViews>
  <sheetFormatPr baseColWidth="10" defaultRowHeight="15" x14ac:dyDescent="0.25"/>
  <cols>
    <col min="3" max="3" width="13" bestFit="1" customWidth="1"/>
  </cols>
  <sheetData>
    <row r="1" spans="1:7" x14ac:dyDescent="0.25">
      <c r="A1" s="3" t="s">
        <v>108</v>
      </c>
    </row>
    <row r="2" spans="1:7" x14ac:dyDescent="0.25">
      <c r="A2" s="1"/>
      <c r="B2" s="1"/>
      <c r="C2" s="1"/>
      <c r="D2" s="1" t="s">
        <v>19</v>
      </c>
    </row>
    <row r="3" spans="1:7" ht="75" x14ac:dyDescent="0.25">
      <c r="A3" s="1"/>
      <c r="B3" s="1"/>
      <c r="C3" s="1"/>
      <c r="D3" s="1" t="s">
        <v>109</v>
      </c>
      <c r="E3" s="1" t="s">
        <v>110</v>
      </c>
      <c r="F3" s="1" t="s">
        <v>89</v>
      </c>
      <c r="G3" s="2"/>
    </row>
    <row r="4" spans="1:7" x14ac:dyDescent="0.25">
      <c r="A4" s="53" t="s">
        <v>0</v>
      </c>
      <c r="B4" s="53" t="s">
        <v>1</v>
      </c>
      <c r="C4" s="1" t="s">
        <v>2</v>
      </c>
      <c r="D4" s="2">
        <v>325</v>
      </c>
      <c r="E4" s="2">
        <v>9</v>
      </c>
      <c r="F4" s="2">
        <v>0</v>
      </c>
      <c r="G4" s="2">
        <v>334</v>
      </c>
    </row>
    <row r="5" spans="1:7" x14ac:dyDescent="0.25">
      <c r="A5" s="53"/>
      <c r="B5" s="53"/>
      <c r="C5" s="1" t="s">
        <v>3</v>
      </c>
      <c r="D5" s="2" t="s">
        <v>111</v>
      </c>
      <c r="E5" s="2" t="s">
        <v>20</v>
      </c>
      <c r="F5" s="2" t="s">
        <v>26</v>
      </c>
      <c r="G5" s="2" t="s">
        <v>5</v>
      </c>
    </row>
    <row r="6" spans="1:7" x14ac:dyDescent="0.25">
      <c r="A6" s="53"/>
      <c r="B6" s="53"/>
      <c r="C6" s="1" t="s">
        <v>6</v>
      </c>
      <c r="D6" s="2" t="s">
        <v>8</v>
      </c>
      <c r="E6" s="2" t="s">
        <v>91</v>
      </c>
      <c r="F6" s="2" t="s">
        <v>26</v>
      </c>
      <c r="G6" s="2" t="s">
        <v>8</v>
      </c>
    </row>
    <row r="7" spans="1:7" x14ac:dyDescent="0.25">
      <c r="A7" s="53"/>
      <c r="B7" s="53"/>
      <c r="C7" s="1" t="s">
        <v>9</v>
      </c>
      <c r="D7" s="2" t="s">
        <v>30</v>
      </c>
      <c r="E7" s="2" t="s">
        <v>23</v>
      </c>
      <c r="F7" s="2" t="s">
        <v>26</v>
      </c>
      <c r="G7" s="2" t="s">
        <v>8</v>
      </c>
    </row>
    <row r="8" spans="1:7" x14ac:dyDescent="0.25">
      <c r="A8" s="53"/>
      <c r="B8" s="53" t="s">
        <v>12</v>
      </c>
      <c r="C8" s="1" t="s">
        <v>2</v>
      </c>
      <c r="D8" s="2">
        <v>461</v>
      </c>
      <c r="E8" s="2">
        <v>14</v>
      </c>
      <c r="F8" s="2">
        <v>2</v>
      </c>
      <c r="G8" s="2">
        <v>477</v>
      </c>
    </row>
    <row r="9" spans="1:7" x14ac:dyDescent="0.25">
      <c r="A9" s="53"/>
      <c r="B9" s="53"/>
      <c r="C9" s="1" t="s">
        <v>3</v>
      </c>
      <c r="D9" s="2" t="s">
        <v>112</v>
      </c>
      <c r="E9" s="2" t="s">
        <v>13</v>
      </c>
      <c r="F9" s="2" t="s">
        <v>39</v>
      </c>
      <c r="G9" s="2" t="s">
        <v>5</v>
      </c>
    </row>
    <row r="10" spans="1:7" x14ac:dyDescent="0.25">
      <c r="A10" s="53"/>
      <c r="B10" s="53"/>
      <c r="C10" s="1" t="s">
        <v>6</v>
      </c>
      <c r="D10" s="2" t="s">
        <v>113</v>
      </c>
      <c r="E10" s="2" t="s">
        <v>114</v>
      </c>
      <c r="F10" s="2" t="s">
        <v>5</v>
      </c>
      <c r="G10" s="2" t="s">
        <v>16</v>
      </c>
    </row>
    <row r="11" spans="1:7" x14ac:dyDescent="0.25">
      <c r="A11" s="53"/>
      <c r="B11" s="53"/>
      <c r="C11" s="1" t="s">
        <v>9</v>
      </c>
      <c r="D11" s="2" t="s">
        <v>115</v>
      </c>
      <c r="E11" s="2" t="s">
        <v>17</v>
      </c>
      <c r="F11" s="2" t="s">
        <v>45</v>
      </c>
      <c r="G11" s="2" t="s">
        <v>16</v>
      </c>
    </row>
    <row r="18" spans="1:6" ht="75" x14ac:dyDescent="0.25">
      <c r="A18" s="1"/>
      <c r="B18" s="1"/>
      <c r="C18" s="1" t="s">
        <v>109</v>
      </c>
      <c r="D18" s="1" t="s">
        <v>110</v>
      </c>
      <c r="E18" s="2" t="s">
        <v>19</v>
      </c>
    </row>
    <row r="19" spans="1:6" x14ac:dyDescent="0.25">
      <c r="A19" s="1" t="s">
        <v>1</v>
      </c>
      <c r="B19" s="1"/>
      <c r="C19" s="2">
        <v>325</v>
      </c>
      <c r="D19" s="2">
        <v>9</v>
      </c>
      <c r="E19" s="2">
        <v>334</v>
      </c>
    </row>
    <row r="20" spans="1:6" ht="15" customHeight="1" x14ac:dyDescent="0.25">
      <c r="A20" s="1" t="s">
        <v>12</v>
      </c>
      <c r="B20" s="1"/>
      <c r="C20" s="2">
        <v>461</v>
      </c>
      <c r="D20" s="2">
        <v>16</v>
      </c>
      <c r="E20" s="2">
        <v>477</v>
      </c>
    </row>
    <row r="21" spans="1:6" x14ac:dyDescent="0.25">
      <c r="A21" s="1"/>
      <c r="B21" s="1"/>
      <c r="C21" s="2"/>
      <c r="D21" s="2"/>
      <c r="E21" s="2">
        <v>811</v>
      </c>
    </row>
    <row r="22" spans="1:6" x14ac:dyDescent="0.25">
      <c r="A22" s="1"/>
      <c r="B22" s="1"/>
      <c r="C22" s="2"/>
      <c r="D22" s="2"/>
      <c r="E22" s="2"/>
    </row>
    <row r="23" spans="1:6" x14ac:dyDescent="0.25">
      <c r="A23" s="1"/>
      <c r="B23" s="1"/>
      <c r="C23" s="2"/>
      <c r="D23" s="2"/>
      <c r="E23" s="2"/>
    </row>
    <row r="26" spans="1:6" ht="75" x14ac:dyDescent="0.25">
      <c r="A26" s="1"/>
      <c r="B26" s="1"/>
      <c r="C26" s="1" t="s">
        <v>109</v>
      </c>
      <c r="D26" s="1" t="s">
        <v>110</v>
      </c>
      <c r="E26" s="2" t="s">
        <v>19</v>
      </c>
    </row>
    <row r="27" spans="1:6" x14ac:dyDescent="0.25">
      <c r="A27" s="1" t="s">
        <v>1</v>
      </c>
      <c r="B27" s="1" t="s">
        <v>331</v>
      </c>
      <c r="C27" s="6">
        <f>C19/E21</f>
        <v>0.4007398273736128</v>
      </c>
      <c r="D27" s="6">
        <f>D19/E21</f>
        <v>1.1097410604192354E-2</v>
      </c>
      <c r="E27" s="6">
        <f>SUM(C27:D27)</f>
        <v>0.41183723797780514</v>
      </c>
      <c r="F27" s="5"/>
    </row>
    <row r="28" spans="1:6" ht="30" x14ac:dyDescent="0.25">
      <c r="A28" s="1" t="s">
        <v>12</v>
      </c>
      <c r="B28" s="1" t="s">
        <v>331</v>
      </c>
      <c r="C28" s="6">
        <f>C20/E21</f>
        <v>0.56843403205918619</v>
      </c>
      <c r="D28" s="6">
        <f>D20/E21</f>
        <v>1.9728729963008632E-2</v>
      </c>
      <c r="E28" s="6">
        <f>SUM(C28:D28)</f>
        <v>0.58816276202219486</v>
      </c>
      <c r="F28" s="5"/>
    </row>
    <row r="29" spans="1:6" x14ac:dyDescent="0.25">
      <c r="A29" s="1"/>
      <c r="B29" s="1"/>
      <c r="C29" s="6">
        <f>SUM(C27:C28)</f>
        <v>0.96917385943279899</v>
      </c>
      <c r="D29" s="6">
        <f>SUM(D27:D28)</f>
        <v>3.0826140567200986E-2</v>
      </c>
      <c r="E29" s="6"/>
      <c r="F29" s="5"/>
    </row>
    <row r="30" spans="1:6" x14ac:dyDescent="0.25">
      <c r="A30" s="1"/>
      <c r="B30" s="1"/>
      <c r="C30" s="6"/>
      <c r="D30" s="6"/>
      <c r="E30" s="6"/>
      <c r="F30" s="5"/>
    </row>
    <row r="31" spans="1:6" x14ac:dyDescent="0.25">
      <c r="A31" s="1"/>
      <c r="B31" s="1"/>
      <c r="C31" s="2"/>
      <c r="D31" s="2"/>
      <c r="E31" s="2"/>
    </row>
    <row r="32" spans="1:6" x14ac:dyDescent="0.25">
      <c r="A32" s="1"/>
      <c r="B32" s="1"/>
      <c r="C32" s="2"/>
      <c r="D32" s="2"/>
      <c r="E32" s="2"/>
    </row>
    <row r="33" spans="1:5" x14ac:dyDescent="0.25">
      <c r="A33" s="1"/>
      <c r="B33" s="1"/>
      <c r="C33" s="2"/>
      <c r="D33" s="2"/>
      <c r="E33" s="2"/>
    </row>
    <row r="34" spans="1:5" x14ac:dyDescent="0.25">
      <c r="A34" s="1"/>
      <c r="B34" s="1"/>
      <c r="C34" s="2"/>
      <c r="D34" s="2"/>
      <c r="E34" s="2"/>
    </row>
  </sheetData>
  <mergeCells count="3">
    <mergeCell ref="A4:A11"/>
    <mergeCell ref="B4:B7"/>
    <mergeCell ref="B8:B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3393-3B63-4893-A6D8-843A147B05B9}">
  <dimension ref="A1:F30"/>
  <sheetViews>
    <sheetView workbookViewId="0">
      <selection activeCell="A4" sqref="A4:G30"/>
    </sheetView>
  </sheetViews>
  <sheetFormatPr baseColWidth="10" defaultRowHeight="15" x14ac:dyDescent="0.25"/>
  <sheetData>
    <row r="1" spans="1:6" x14ac:dyDescent="0.25">
      <c r="A1" s="3" t="s">
        <v>116</v>
      </c>
    </row>
    <row r="4" spans="1:6" ht="90" x14ac:dyDescent="0.25">
      <c r="A4" s="1"/>
      <c r="B4" s="1" t="s">
        <v>117</v>
      </c>
      <c r="C4" s="1" t="s">
        <v>118</v>
      </c>
      <c r="D4" s="1" t="s">
        <v>66</v>
      </c>
      <c r="E4" s="1" t="s">
        <v>119</v>
      </c>
      <c r="F4" s="2"/>
    </row>
    <row r="5" spans="1:6" x14ac:dyDescent="0.25">
      <c r="A5" s="1" t="s">
        <v>1</v>
      </c>
      <c r="B5" s="2">
        <v>262</v>
      </c>
      <c r="C5" s="2">
        <v>59</v>
      </c>
      <c r="D5" s="2">
        <v>12</v>
      </c>
      <c r="E5" s="2">
        <v>0</v>
      </c>
      <c r="F5" s="2">
        <v>333</v>
      </c>
    </row>
    <row r="6" spans="1:6" ht="15" customHeight="1" x14ac:dyDescent="0.25">
      <c r="A6" s="1" t="s">
        <v>12</v>
      </c>
      <c r="B6" s="2">
        <v>378</v>
      </c>
      <c r="C6" s="2">
        <v>83</v>
      </c>
      <c r="D6" s="2">
        <v>12</v>
      </c>
      <c r="E6" s="2">
        <v>5</v>
      </c>
      <c r="F6" s="2">
        <f>SUM(B6:E6)</f>
        <v>478</v>
      </c>
    </row>
    <row r="7" spans="1:6" x14ac:dyDescent="0.25">
      <c r="B7">
        <f>SUM(B5:B6)</f>
        <v>640</v>
      </c>
      <c r="C7">
        <f>SUM(C5:C6)</f>
        <v>142</v>
      </c>
      <c r="D7">
        <f>SUM(D5:D6)</f>
        <v>24</v>
      </c>
      <c r="E7">
        <f>SUM(E5:E6)</f>
        <v>5</v>
      </c>
      <c r="F7">
        <f>SUM(B7:E7)</f>
        <v>811</v>
      </c>
    </row>
    <row r="9" spans="1:6" ht="90" x14ac:dyDescent="0.25">
      <c r="A9" s="1"/>
      <c r="B9" s="1" t="s">
        <v>117</v>
      </c>
      <c r="C9" s="1" t="s">
        <v>118</v>
      </c>
      <c r="D9" s="1" t="s">
        <v>66</v>
      </c>
      <c r="E9" s="1" t="s">
        <v>119</v>
      </c>
      <c r="F9" s="2"/>
    </row>
    <row r="10" spans="1:6" x14ac:dyDescent="0.25">
      <c r="A10" s="1" t="s">
        <v>1</v>
      </c>
      <c r="B10" s="6">
        <f>B5/F7</f>
        <v>0.32305795314426633</v>
      </c>
      <c r="C10" s="6">
        <f>C5/F7</f>
        <v>7.274969173859433E-2</v>
      </c>
      <c r="D10" s="6">
        <f>D5/F7</f>
        <v>1.4796547472256474E-2</v>
      </c>
      <c r="E10" s="6">
        <f>E5/F7</f>
        <v>0</v>
      </c>
      <c r="F10" s="6">
        <f>SUM(B10:E10)</f>
        <v>0.41060419235511714</v>
      </c>
    </row>
    <row r="11" spans="1:6" ht="30" x14ac:dyDescent="0.25">
      <c r="A11" s="1" t="s">
        <v>12</v>
      </c>
      <c r="B11" s="6">
        <f>B6/F7</f>
        <v>0.46609124537607893</v>
      </c>
      <c r="C11" s="6">
        <f>C6/F7</f>
        <v>0.10234278668310727</v>
      </c>
      <c r="D11" s="6">
        <f>D6/F7</f>
        <v>1.4796547472256474E-2</v>
      </c>
      <c r="E11" s="6">
        <f>E6/F7</f>
        <v>6.1652281134401974E-3</v>
      </c>
      <c r="F11" s="6">
        <f>SUM(B11:E11)</f>
        <v>0.58939580764488286</v>
      </c>
    </row>
    <row r="12" spans="1:6" x14ac:dyDescent="0.25">
      <c r="B12" s="5">
        <f>SUM(B10:B11)</f>
        <v>0.78914919852034526</v>
      </c>
      <c r="C12" s="5">
        <f>SUM(C10:C11)</f>
        <v>0.17509247842170161</v>
      </c>
      <c r="D12" s="5">
        <f>SUM(D10:D11)</f>
        <v>2.9593094944512947E-2</v>
      </c>
      <c r="E12" s="5">
        <f>SUM(E10:E11)</f>
        <v>6.1652281134401974E-3</v>
      </c>
      <c r="F12" s="5">
        <f>SUM(F10:F11)</f>
        <v>1</v>
      </c>
    </row>
    <row r="13" spans="1:6" x14ac:dyDescent="0.25">
      <c r="B13" s="5"/>
      <c r="C13" s="5"/>
      <c r="D13" s="5"/>
      <c r="E13" s="5"/>
      <c r="F13" s="5"/>
    </row>
    <row r="14" spans="1:6" x14ac:dyDescent="0.25">
      <c r="B14" s="5"/>
      <c r="C14" s="5"/>
      <c r="D14" s="5"/>
      <c r="E14" s="5"/>
      <c r="F14" s="5"/>
    </row>
    <row r="15" spans="1:6" x14ac:dyDescent="0.25">
      <c r="B15" s="5"/>
      <c r="C15" s="5"/>
      <c r="D15" s="5"/>
      <c r="E15" s="5"/>
      <c r="F15" s="5"/>
    </row>
    <row r="17" spans="1:6" x14ac:dyDescent="0.25">
      <c r="A17" s="3" t="s">
        <v>82</v>
      </c>
    </row>
    <row r="18" spans="1:6" x14ac:dyDescent="0.25">
      <c r="A18" s="1"/>
      <c r="B18" s="1"/>
    </row>
    <row r="19" spans="1:6" x14ac:dyDescent="0.25">
      <c r="A19" s="1"/>
      <c r="B19" s="1" t="s">
        <v>83</v>
      </c>
      <c r="C19" s="1" t="s">
        <v>84</v>
      </c>
      <c r="D19" s="1" t="s">
        <v>66</v>
      </c>
      <c r="E19" s="2"/>
    </row>
    <row r="20" spans="1:6" x14ac:dyDescent="0.25">
      <c r="A20" s="1" t="s">
        <v>1</v>
      </c>
      <c r="B20" s="2">
        <v>47</v>
      </c>
      <c r="C20" s="2">
        <v>10</v>
      </c>
      <c r="D20" s="2">
        <v>276</v>
      </c>
      <c r="E20" s="2">
        <v>334</v>
      </c>
    </row>
    <row r="21" spans="1:6" ht="15" customHeight="1" x14ac:dyDescent="0.25">
      <c r="A21" s="1" t="s">
        <v>12</v>
      </c>
      <c r="B21" s="2">
        <v>50</v>
      </c>
      <c r="C21" s="2">
        <v>13</v>
      </c>
      <c r="D21" s="2">
        <v>414</v>
      </c>
      <c r="E21" s="2">
        <v>477</v>
      </c>
    </row>
    <row r="22" spans="1:6" x14ac:dyDescent="0.25">
      <c r="B22">
        <f>SUM(B20:B21)</f>
        <v>97</v>
      </c>
      <c r="C22">
        <f>SUM(C20:C21)</f>
        <v>23</v>
      </c>
      <c r="D22">
        <f>SUM(D20:D21)</f>
        <v>690</v>
      </c>
      <c r="E22">
        <f>SUM(E20:E21)</f>
        <v>811</v>
      </c>
    </row>
    <row r="25" spans="1:6" x14ac:dyDescent="0.25">
      <c r="A25" s="1"/>
      <c r="B25" s="1" t="s">
        <v>83</v>
      </c>
      <c r="C25" s="1" t="s">
        <v>84</v>
      </c>
      <c r="D25" s="1" t="s">
        <v>66</v>
      </c>
      <c r="E25" s="2"/>
    </row>
    <row r="26" spans="1:6" x14ac:dyDescent="0.25">
      <c r="A26" s="1" t="s">
        <v>1</v>
      </c>
      <c r="B26" s="6">
        <f>B20/E22</f>
        <v>5.7953144266337853E-2</v>
      </c>
      <c r="C26" s="6">
        <f>C20/E22</f>
        <v>1.2330456226880395E-2</v>
      </c>
      <c r="D26" s="6">
        <f>D20/E22</f>
        <v>0.34032059186189889</v>
      </c>
      <c r="E26" s="6">
        <f>E20/E22</f>
        <v>0.41183723797780519</v>
      </c>
      <c r="F26" s="5"/>
    </row>
    <row r="27" spans="1:6" ht="30" x14ac:dyDescent="0.25">
      <c r="A27" s="1" t="s">
        <v>12</v>
      </c>
      <c r="B27" s="6">
        <f>B21/E22</f>
        <v>6.1652281134401972E-2</v>
      </c>
      <c r="C27" s="6">
        <f>C21/E22</f>
        <v>1.6029593094944512E-2</v>
      </c>
      <c r="D27" s="6">
        <f>D21/E22</f>
        <v>0.51048088779284828</v>
      </c>
      <c r="E27" s="6">
        <f>E21/E22</f>
        <v>0.58816276202219486</v>
      </c>
      <c r="F27" s="5"/>
    </row>
    <row r="28" spans="1:6" x14ac:dyDescent="0.25">
      <c r="B28" s="5">
        <f>SUM(B26:B27)</f>
        <v>0.11960542540073982</v>
      </c>
      <c r="C28" s="5">
        <f>SUM(C26:C27)</f>
        <v>2.8360049321824905E-2</v>
      </c>
      <c r="D28" s="5">
        <f>SUM(D26:D27)</f>
        <v>0.85080147965474717</v>
      </c>
      <c r="E28" s="5">
        <f>SUM(E26:E27)</f>
        <v>1</v>
      </c>
      <c r="F28" s="5"/>
    </row>
    <row r="29" spans="1:6" x14ac:dyDescent="0.25">
      <c r="B29" s="5"/>
      <c r="C29" s="5"/>
      <c r="D29" s="5"/>
      <c r="E29" s="5"/>
      <c r="F29" s="5"/>
    </row>
    <row r="30" spans="1:6" x14ac:dyDescent="0.25">
      <c r="B30" s="5"/>
      <c r="C30" s="5"/>
      <c r="D30" s="5"/>
      <c r="E30" s="5"/>
      <c r="F30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3EBF-AD54-4B10-B6FC-C1A0FA295A23}">
  <dimension ref="A3:J13"/>
  <sheetViews>
    <sheetView workbookViewId="0">
      <selection activeCell="A3" sqref="A3:J13"/>
    </sheetView>
  </sheetViews>
  <sheetFormatPr baseColWidth="10" defaultRowHeight="15" x14ac:dyDescent="0.25"/>
  <sheetData>
    <row r="3" spans="1:10" x14ac:dyDescent="0.25">
      <c r="A3" s="3" t="s">
        <v>116</v>
      </c>
    </row>
    <row r="4" spans="1:10" x14ac:dyDescent="0.25">
      <c r="A4" s="1"/>
      <c r="B4" s="1"/>
      <c r="C4" s="1"/>
      <c r="D4" s="1" t="s">
        <v>19</v>
      </c>
    </row>
    <row r="5" spans="1:10" ht="90" x14ac:dyDescent="0.25">
      <c r="A5" s="1"/>
      <c r="B5" s="1"/>
      <c r="C5" s="1"/>
      <c r="D5" s="1" t="s">
        <v>117</v>
      </c>
      <c r="E5" s="1" t="s">
        <v>118</v>
      </c>
      <c r="F5" s="1" t="s">
        <v>66</v>
      </c>
      <c r="G5" s="1" t="s">
        <v>119</v>
      </c>
      <c r="H5" s="1" t="s">
        <v>120</v>
      </c>
      <c r="I5" s="1" t="s">
        <v>90</v>
      </c>
      <c r="J5" s="2"/>
    </row>
    <row r="6" spans="1:10" x14ac:dyDescent="0.25">
      <c r="A6" s="53" t="s">
        <v>0</v>
      </c>
      <c r="B6" s="53" t="s">
        <v>1</v>
      </c>
      <c r="C6" s="1" t="s">
        <v>2</v>
      </c>
      <c r="D6" s="2">
        <v>262</v>
      </c>
      <c r="E6" s="2">
        <v>59</v>
      </c>
      <c r="F6" s="2">
        <v>12</v>
      </c>
      <c r="G6" s="2">
        <v>0</v>
      </c>
      <c r="H6" s="2">
        <v>0</v>
      </c>
      <c r="I6" s="2">
        <v>0</v>
      </c>
      <c r="J6" s="2">
        <v>333</v>
      </c>
    </row>
    <row r="7" spans="1:10" x14ac:dyDescent="0.25">
      <c r="A7" s="53"/>
      <c r="B7" s="53"/>
      <c r="C7" s="1" t="s">
        <v>3</v>
      </c>
      <c r="D7" s="2" t="s">
        <v>121</v>
      </c>
      <c r="E7" s="2" t="s">
        <v>122</v>
      </c>
      <c r="F7" s="2" t="s">
        <v>42</v>
      </c>
      <c r="G7" s="2" t="s">
        <v>26</v>
      </c>
      <c r="H7" s="2" t="s">
        <v>26</v>
      </c>
      <c r="I7" s="2" t="s">
        <v>26</v>
      </c>
      <c r="J7" s="2" t="s">
        <v>5</v>
      </c>
    </row>
    <row r="8" spans="1:10" ht="30" x14ac:dyDescent="0.25">
      <c r="A8" s="53"/>
      <c r="B8" s="53"/>
      <c r="C8" s="1" t="s">
        <v>6</v>
      </c>
      <c r="D8" s="2" t="s">
        <v>100</v>
      </c>
      <c r="E8" s="2" t="s">
        <v>101</v>
      </c>
      <c r="F8" s="2" t="s">
        <v>123</v>
      </c>
      <c r="G8" s="2" t="s">
        <v>26</v>
      </c>
      <c r="H8" s="2" t="s">
        <v>26</v>
      </c>
      <c r="I8" s="2" t="s">
        <v>26</v>
      </c>
      <c r="J8" s="2" t="s">
        <v>100</v>
      </c>
    </row>
    <row r="9" spans="1:10" x14ac:dyDescent="0.25">
      <c r="A9" s="53"/>
      <c r="B9" s="53"/>
      <c r="C9" s="1" t="s">
        <v>9</v>
      </c>
      <c r="D9" s="2" t="s">
        <v>124</v>
      </c>
      <c r="E9" s="2" t="s">
        <v>48</v>
      </c>
      <c r="F9" s="2" t="s">
        <v>25</v>
      </c>
      <c r="G9" s="2" t="s">
        <v>26</v>
      </c>
      <c r="H9" s="2" t="s">
        <v>26</v>
      </c>
      <c r="I9" s="2" t="s">
        <v>26</v>
      </c>
      <c r="J9" s="2" t="s">
        <v>100</v>
      </c>
    </row>
    <row r="10" spans="1:10" x14ac:dyDescent="0.25">
      <c r="A10" s="53"/>
      <c r="B10" s="53" t="s">
        <v>12</v>
      </c>
      <c r="C10" s="1" t="s">
        <v>2</v>
      </c>
      <c r="D10" s="2">
        <v>378</v>
      </c>
      <c r="E10" s="2">
        <v>83</v>
      </c>
      <c r="F10" s="2">
        <v>12</v>
      </c>
      <c r="G10" s="2">
        <v>2</v>
      </c>
      <c r="H10" s="2">
        <v>1</v>
      </c>
      <c r="I10" s="2">
        <v>1</v>
      </c>
      <c r="J10" s="2">
        <v>477</v>
      </c>
    </row>
    <row r="11" spans="1:10" x14ac:dyDescent="0.25">
      <c r="A11" s="53"/>
      <c r="B11" s="53"/>
      <c r="C11" s="1" t="s">
        <v>3</v>
      </c>
      <c r="D11" s="2" t="s">
        <v>125</v>
      </c>
      <c r="E11" s="2" t="s">
        <v>126</v>
      </c>
      <c r="F11" s="2" t="s">
        <v>127</v>
      </c>
      <c r="G11" s="2" t="s">
        <v>39</v>
      </c>
      <c r="H11" s="2" t="s">
        <v>45</v>
      </c>
      <c r="I11" s="2" t="s">
        <v>45</v>
      </c>
      <c r="J11" s="2" t="s">
        <v>5</v>
      </c>
    </row>
    <row r="12" spans="1:10" ht="30" x14ac:dyDescent="0.25">
      <c r="A12" s="53"/>
      <c r="B12" s="53"/>
      <c r="C12" s="1" t="s">
        <v>6</v>
      </c>
      <c r="D12" s="2" t="s">
        <v>128</v>
      </c>
      <c r="E12" s="2" t="s">
        <v>129</v>
      </c>
      <c r="F12" s="2" t="s">
        <v>123</v>
      </c>
      <c r="G12" s="2" t="s">
        <v>5</v>
      </c>
      <c r="H12" s="2" t="s">
        <v>5</v>
      </c>
      <c r="I12" s="2" t="s">
        <v>5</v>
      </c>
      <c r="J12" s="2" t="s">
        <v>107</v>
      </c>
    </row>
    <row r="13" spans="1:10" x14ac:dyDescent="0.25">
      <c r="A13" s="53"/>
      <c r="B13" s="53"/>
      <c r="C13" s="1" t="s">
        <v>9</v>
      </c>
      <c r="D13" s="2" t="s">
        <v>130</v>
      </c>
      <c r="E13" s="2" t="s">
        <v>131</v>
      </c>
      <c r="F13" s="2" t="s">
        <v>25</v>
      </c>
      <c r="G13" s="2" t="s">
        <v>45</v>
      </c>
      <c r="H13" s="2" t="s">
        <v>40</v>
      </c>
      <c r="I13" s="2" t="s">
        <v>40</v>
      </c>
      <c r="J13" s="2" t="s">
        <v>107</v>
      </c>
    </row>
  </sheetData>
  <mergeCells count="3">
    <mergeCell ref="A6:A13"/>
    <mergeCell ref="B6:B9"/>
    <mergeCell ref="B10:B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650B-7DDA-42EE-AEBD-3EA1AB3ACAFE}">
  <dimension ref="A1:H26"/>
  <sheetViews>
    <sheetView workbookViewId="0">
      <selection activeCell="O28" sqref="A1:O28"/>
    </sheetView>
  </sheetViews>
  <sheetFormatPr baseColWidth="10" defaultRowHeight="15" x14ac:dyDescent="0.25"/>
  <sheetData>
    <row r="1" spans="1:8" x14ac:dyDescent="0.25">
      <c r="A1" s="3" t="s">
        <v>132</v>
      </c>
    </row>
    <row r="2" spans="1:8" x14ac:dyDescent="0.25">
      <c r="A2" s="1"/>
      <c r="B2" s="1"/>
      <c r="C2" s="1"/>
      <c r="D2" s="1" t="s">
        <v>19</v>
      </c>
    </row>
    <row r="3" spans="1:8" ht="45" x14ac:dyDescent="0.25">
      <c r="A3" s="1"/>
      <c r="B3" s="1"/>
      <c r="C3" s="1"/>
      <c r="D3" s="1" t="s">
        <v>133</v>
      </c>
      <c r="E3" s="1" t="s">
        <v>134</v>
      </c>
      <c r="F3" s="1" t="s">
        <v>135</v>
      </c>
      <c r="G3" s="1" t="s">
        <v>136</v>
      </c>
      <c r="H3" s="2"/>
    </row>
    <row r="4" spans="1:8" x14ac:dyDescent="0.25">
      <c r="A4" s="53" t="s">
        <v>0</v>
      </c>
      <c r="B4" s="53" t="s">
        <v>1</v>
      </c>
      <c r="C4" s="1" t="s">
        <v>2</v>
      </c>
      <c r="D4" s="2">
        <v>315</v>
      </c>
      <c r="E4" s="2">
        <v>13</v>
      </c>
      <c r="F4" s="2">
        <v>6</v>
      </c>
      <c r="G4" s="2">
        <v>0</v>
      </c>
      <c r="H4" s="2">
        <v>334</v>
      </c>
    </row>
    <row r="5" spans="1:8" x14ac:dyDescent="0.25">
      <c r="A5" s="53"/>
      <c r="B5" s="53"/>
      <c r="C5" s="1" t="s">
        <v>3</v>
      </c>
      <c r="D5" s="2" t="s">
        <v>137</v>
      </c>
      <c r="E5" s="2" t="s">
        <v>138</v>
      </c>
      <c r="F5" s="2" t="s">
        <v>36</v>
      </c>
      <c r="G5" s="2" t="s">
        <v>26</v>
      </c>
      <c r="H5" s="2" t="s">
        <v>5</v>
      </c>
    </row>
    <row r="6" spans="1:8" ht="30" x14ac:dyDescent="0.25">
      <c r="A6" s="53"/>
      <c r="B6" s="53"/>
      <c r="C6" s="1" t="s">
        <v>6</v>
      </c>
      <c r="D6" s="2" t="s">
        <v>139</v>
      </c>
      <c r="E6" s="2" t="s">
        <v>140</v>
      </c>
      <c r="F6" s="2" t="s">
        <v>141</v>
      </c>
      <c r="G6" s="2" t="s">
        <v>26</v>
      </c>
      <c r="H6" s="2" t="s">
        <v>8</v>
      </c>
    </row>
    <row r="7" spans="1:8" x14ac:dyDescent="0.25">
      <c r="A7" s="53"/>
      <c r="B7" s="53"/>
      <c r="C7" s="1" t="s">
        <v>9</v>
      </c>
      <c r="D7" s="2" t="s">
        <v>7</v>
      </c>
      <c r="E7" s="2" t="s">
        <v>85</v>
      </c>
      <c r="F7" s="2" t="s">
        <v>61</v>
      </c>
      <c r="G7" s="2" t="s">
        <v>26</v>
      </c>
      <c r="H7" s="2" t="s">
        <v>8</v>
      </c>
    </row>
    <row r="8" spans="1:8" x14ac:dyDescent="0.25">
      <c r="A8" s="53"/>
      <c r="B8" s="53" t="s">
        <v>12</v>
      </c>
      <c r="C8" s="1" t="s">
        <v>2</v>
      </c>
      <c r="D8" s="2">
        <v>417</v>
      </c>
      <c r="E8" s="2">
        <v>42</v>
      </c>
      <c r="F8" s="2">
        <v>18</v>
      </c>
      <c r="G8" s="2">
        <v>0</v>
      </c>
      <c r="H8" s="2">
        <v>477</v>
      </c>
    </row>
    <row r="9" spans="1:8" x14ac:dyDescent="0.25">
      <c r="A9" s="53"/>
      <c r="B9" s="53"/>
      <c r="C9" s="1" t="s">
        <v>3</v>
      </c>
      <c r="D9" s="2" t="s">
        <v>142</v>
      </c>
      <c r="E9" s="2" t="s">
        <v>143</v>
      </c>
      <c r="F9" s="2" t="s">
        <v>144</v>
      </c>
      <c r="G9" s="2" t="s">
        <v>26</v>
      </c>
      <c r="H9" s="2" t="s">
        <v>5</v>
      </c>
    </row>
    <row r="10" spans="1:8" ht="30" x14ac:dyDescent="0.25">
      <c r="A10" s="53"/>
      <c r="B10" s="53"/>
      <c r="C10" s="1" t="s">
        <v>6</v>
      </c>
      <c r="D10" s="2" t="s">
        <v>145</v>
      </c>
      <c r="E10" s="2" t="s">
        <v>146</v>
      </c>
      <c r="F10" s="2" t="s">
        <v>147</v>
      </c>
      <c r="G10" s="2" t="s">
        <v>26</v>
      </c>
      <c r="H10" s="2" t="s">
        <v>16</v>
      </c>
    </row>
    <row r="11" spans="1:8" x14ac:dyDescent="0.25">
      <c r="A11" s="53"/>
      <c r="B11" s="53"/>
      <c r="C11" s="1" t="s">
        <v>9</v>
      </c>
      <c r="D11" s="2" t="s">
        <v>148</v>
      </c>
      <c r="E11" s="2" t="s">
        <v>73</v>
      </c>
      <c r="F11" s="2" t="s">
        <v>36</v>
      </c>
      <c r="G11" s="2" t="s">
        <v>26</v>
      </c>
      <c r="H11" s="2" t="s">
        <v>16</v>
      </c>
    </row>
    <row r="17" spans="1:7" ht="45" x14ac:dyDescent="0.25">
      <c r="A17" s="1"/>
      <c r="B17" s="1"/>
      <c r="C17" s="1" t="s">
        <v>133</v>
      </c>
      <c r="D17" s="1" t="s">
        <v>134</v>
      </c>
      <c r="E17" s="1" t="s">
        <v>135</v>
      </c>
      <c r="F17" s="1" t="s">
        <v>136</v>
      </c>
      <c r="G17" s="2"/>
    </row>
    <row r="18" spans="1:7" x14ac:dyDescent="0.25">
      <c r="A18" s="1" t="s">
        <v>1</v>
      </c>
      <c r="B18" s="1" t="s">
        <v>2</v>
      </c>
      <c r="C18" s="2">
        <v>315</v>
      </c>
      <c r="D18" s="2">
        <v>13</v>
      </c>
      <c r="E18" s="2">
        <v>6</v>
      </c>
      <c r="F18" s="2">
        <v>0</v>
      </c>
      <c r="G18" s="2">
        <v>334</v>
      </c>
    </row>
    <row r="19" spans="1:7" ht="15" customHeight="1" x14ac:dyDescent="0.25">
      <c r="A19" s="1" t="s">
        <v>12</v>
      </c>
      <c r="B19" s="1" t="s">
        <v>2</v>
      </c>
      <c r="C19" s="2">
        <v>417</v>
      </c>
      <c r="D19" s="2">
        <v>42</v>
      </c>
      <c r="E19" s="2">
        <v>18</v>
      </c>
      <c r="F19" s="2">
        <v>0</v>
      </c>
      <c r="G19" s="2">
        <v>477</v>
      </c>
    </row>
    <row r="20" spans="1:7" x14ac:dyDescent="0.25">
      <c r="A20" s="1"/>
      <c r="B20" s="1"/>
      <c r="C20" s="2">
        <f>SUM(C18:C19)</f>
        <v>732</v>
      </c>
      <c r="D20" s="2">
        <f>SUM(D18:D19)</f>
        <v>55</v>
      </c>
      <c r="E20" s="2">
        <f>SUM(E18:E19)</f>
        <v>24</v>
      </c>
      <c r="F20" s="2">
        <f>SUM(F18:F19)</f>
        <v>0</v>
      </c>
      <c r="G20" s="2">
        <f>SUM(G18:G19)</f>
        <v>811</v>
      </c>
    </row>
    <row r="21" spans="1:7" x14ac:dyDescent="0.25">
      <c r="A21" s="1"/>
      <c r="B21" s="1"/>
      <c r="C21" s="2"/>
      <c r="D21" s="2"/>
      <c r="E21" s="2"/>
      <c r="F21" s="2"/>
      <c r="G21" s="2"/>
    </row>
    <row r="22" spans="1:7" x14ac:dyDescent="0.25">
      <c r="A22" s="1"/>
      <c r="B22" s="1"/>
      <c r="C22" s="2"/>
      <c r="D22" s="2"/>
      <c r="E22" s="2"/>
      <c r="F22" s="2"/>
      <c r="G22" s="2"/>
    </row>
    <row r="23" spans="1:7" ht="45" x14ac:dyDescent="0.25">
      <c r="A23" s="1"/>
      <c r="B23" s="1" t="s">
        <v>133</v>
      </c>
      <c r="C23" s="1" t="s">
        <v>134</v>
      </c>
      <c r="D23" s="1" t="s">
        <v>135</v>
      </c>
      <c r="E23" s="1" t="s">
        <v>136</v>
      </c>
      <c r="G23" s="2"/>
    </row>
    <row r="24" spans="1:7" x14ac:dyDescent="0.25">
      <c r="A24" s="1" t="s">
        <v>1</v>
      </c>
      <c r="B24" s="6">
        <f>C18/G20</f>
        <v>0.38840937114673241</v>
      </c>
      <c r="C24" s="6">
        <f>D18/G20</f>
        <v>1.6029593094944512E-2</v>
      </c>
      <c r="D24" s="6">
        <f>E18/G20</f>
        <v>7.3982737361282368E-3</v>
      </c>
      <c r="E24" s="6">
        <f>F18/G20</f>
        <v>0</v>
      </c>
      <c r="F24" s="6">
        <f>SUM(B24:E24)</f>
        <v>0.41183723797780514</v>
      </c>
    </row>
    <row r="25" spans="1:7" ht="30" x14ac:dyDescent="0.25">
      <c r="A25" s="1" t="s">
        <v>12</v>
      </c>
      <c r="B25" s="6">
        <f>C19/G20</f>
        <v>0.5141800246609125</v>
      </c>
      <c r="C25" s="6">
        <f>D19/G20</f>
        <v>5.1787916152897656E-2</v>
      </c>
      <c r="D25" s="6">
        <f>E19/G20</f>
        <v>2.2194821208384709E-2</v>
      </c>
      <c r="E25" s="6">
        <v>0</v>
      </c>
      <c r="F25" s="6">
        <f>SUM(B25:E25)</f>
        <v>0.58816276202219486</v>
      </c>
    </row>
    <row r="26" spans="1:7" x14ac:dyDescent="0.25">
      <c r="B26" s="5"/>
      <c r="C26" s="5">
        <f>SUM(B24:B25)</f>
        <v>0.90258939580764497</v>
      </c>
      <c r="D26" s="5">
        <f>SUM(C24:C25)</f>
        <v>6.7817509247842162E-2</v>
      </c>
      <c r="E26" s="5">
        <f>SUM(D24:D25)</f>
        <v>2.9593094944512947E-2</v>
      </c>
      <c r="F26" s="5">
        <f ca="1">SUM(F24:F26)</f>
        <v>0</v>
      </c>
      <c r="G26" s="5">
        <f>SUM(F24:F25)</f>
        <v>1</v>
      </c>
    </row>
  </sheetData>
  <mergeCells count="3">
    <mergeCell ref="A4:A11"/>
    <mergeCell ref="B4:B7"/>
    <mergeCell ref="B8:B1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C128-C963-4C1C-A37D-5BFEDEBCFD4A}">
  <dimension ref="A1:E17"/>
  <sheetViews>
    <sheetView workbookViewId="0">
      <selection sqref="A1:D13"/>
    </sheetView>
  </sheetViews>
  <sheetFormatPr baseColWidth="10" defaultRowHeight="15" x14ac:dyDescent="0.25"/>
  <sheetData>
    <row r="1" spans="1:5" x14ac:dyDescent="0.25">
      <c r="A1" s="3" t="s">
        <v>149</v>
      </c>
    </row>
    <row r="5" spans="1:5" ht="75" x14ac:dyDescent="0.25">
      <c r="A5" s="1"/>
      <c r="B5" s="1" t="s">
        <v>150</v>
      </c>
      <c r="C5" s="1" t="s">
        <v>151</v>
      </c>
      <c r="D5" s="2"/>
    </row>
    <row r="6" spans="1:5" x14ac:dyDescent="0.25">
      <c r="A6" s="1" t="s">
        <v>1</v>
      </c>
      <c r="B6" s="2">
        <v>270</v>
      </c>
      <c r="C6" s="2">
        <v>64</v>
      </c>
      <c r="D6" s="2">
        <v>334</v>
      </c>
    </row>
    <row r="7" spans="1:5" ht="30" x14ac:dyDescent="0.25">
      <c r="A7" s="1" t="s">
        <v>12</v>
      </c>
      <c r="B7" s="2">
        <v>388</v>
      </c>
      <c r="C7" s="2">
        <v>89</v>
      </c>
      <c r="D7" s="2">
        <v>477</v>
      </c>
    </row>
    <row r="8" spans="1:5" x14ac:dyDescent="0.25">
      <c r="B8">
        <f>SUM(B6:B7)</f>
        <v>658</v>
      </c>
      <c r="C8">
        <f>SUM(C6:C7)</f>
        <v>153</v>
      </c>
      <c r="D8">
        <f>SUM(D6:D7)</f>
        <v>811</v>
      </c>
    </row>
    <row r="10" spans="1:5" ht="75" x14ac:dyDescent="0.25">
      <c r="A10" s="1"/>
      <c r="B10" s="1" t="s">
        <v>150</v>
      </c>
      <c r="C10" s="1" t="s">
        <v>151</v>
      </c>
      <c r="D10" s="2"/>
    </row>
    <row r="11" spans="1:5" x14ac:dyDescent="0.25">
      <c r="A11" s="1" t="s">
        <v>1</v>
      </c>
      <c r="B11" s="6">
        <f>B6/D8</f>
        <v>0.33292231812577067</v>
      </c>
      <c r="C11" s="6">
        <f>C6/D8</f>
        <v>7.8914919852034526E-2</v>
      </c>
      <c r="D11" s="6">
        <f>D6/D8</f>
        <v>0.41183723797780519</v>
      </c>
      <c r="E11" s="5"/>
    </row>
    <row r="12" spans="1:5" ht="30" x14ac:dyDescent="0.25">
      <c r="A12" s="1" t="s">
        <v>12</v>
      </c>
      <c r="B12" s="6">
        <f>B7/D8</f>
        <v>0.47842170160295933</v>
      </c>
      <c r="C12" s="6">
        <f>C7/D8</f>
        <v>0.10974106041923551</v>
      </c>
      <c r="D12" s="6">
        <f>D7/D8</f>
        <v>0.58816276202219486</v>
      </c>
      <c r="E12" s="5"/>
    </row>
    <row r="13" spans="1:5" x14ac:dyDescent="0.25">
      <c r="B13" s="5">
        <f>SUM(B11:B12)</f>
        <v>0.81134401972873005</v>
      </c>
      <c r="C13" s="5">
        <f>SUM(C11:C12)</f>
        <v>0.18865598027127004</v>
      </c>
      <c r="D13" s="5">
        <f>SUM(D11:D12)</f>
        <v>1</v>
      </c>
      <c r="E13" s="5"/>
    </row>
    <row r="14" spans="1:5" x14ac:dyDescent="0.25">
      <c r="B14" s="5"/>
      <c r="C14" s="5"/>
      <c r="D14" s="5"/>
      <c r="E14" s="5"/>
    </row>
    <row r="17" ht="15" customHeight="1" x14ac:dyDescent="0.2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190C-3B2A-413A-8E3E-6223C72B09F4}">
  <dimension ref="A1:G24"/>
  <sheetViews>
    <sheetView topLeftCell="A15" workbookViewId="0">
      <selection activeCell="G26" sqref="A1:G26"/>
    </sheetView>
  </sheetViews>
  <sheetFormatPr baseColWidth="10" defaultRowHeight="15" x14ac:dyDescent="0.25"/>
  <sheetData>
    <row r="1" spans="1:7" x14ac:dyDescent="0.25">
      <c r="A1" s="3" t="s">
        <v>154</v>
      </c>
    </row>
    <row r="2" spans="1:7" x14ac:dyDescent="0.25">
      <c r="A2" s="1"/>
      <c r="B2" s="1"/>
      <c r="C2" s="1"/>
      <c r="D2" s="1" t="s">
        <v>19</v>
      </c>
    </row>
    <row r="3" spans="1:7" ht="105" x14ac:dyDescent="0.25">
      <c r="A3" s="1"/>
      <c r="B3" s="1"/>
      <c r="C3" s="1"/>
      <c r="D3" s="1" t="s">
        <v>155</v>
      </c>
      <c r="E3" s="1" t="s">
        <v>156</v>
      </c>
      <c r="F3" s="1" t="s">
        <v>157</v>
      </c>
      <c r="G3" s="2"/>
    </row>
    <row r="4" spans="1:7" x14ac:dyDescent="0.25">
      <c r="A4" s="53" t="s">
        <v>0</v>
      </c>
      <c r="B4" s="53" t="s">
        <v>1</v>
      </c>
      <c r="C4" s="1" t="s">
        <v>2</v>
      </c>
      <c r="D4" s="2">
        <v>252</v>
      </c>
      <c r="E4" s="2">
        <v>78</v>
      </c>
      <c r="F4" s="2">
        <v>4</v>
      </c>
      <c r="G4" s="2">
        <v>334</v>
      </c>
    </row>
    <row r="5" spans="1:7" x14ac:dyDescent="0.25">
      <c r="A5" s="53"/>
      <c r="B5" s="53"/>
      <c r="C5" s="1" t="s">
        <v>3</v>
      </c>
      <c r="D5" s="2" t="s">
        <v>158</v>
      </c>
      <c r="E5" s="2" t="s">
        <v>49</v>
      </c>
      <c r="F5" s="2" t="s">
        <v>25</v>
      </c>
      <c r="G5" s="2" t="s">
        <v>5</v>
      </c>
    </row>
    <row r="6" spans="1:7" ht="30" x14ac:dyDescent="0.25">
      <c r="A6" s="53"/>
      <c r="B6" s="53"/>
      <c r="C6" s="1" t="s">
        <v>6</v>
      </c>
      <c r="D6" s="2" t="s">
        <v>159</v>
      </c>
      <c r="E6" s="2" t="s">
        <v>81</v>
      </c>
      <c r="F6" s="2" t="s">
        <v>146</v>
      </c>
      <c r="G6" s="2" t="s">
        <v>8</v>
      </c>
    </row>
    <row r="7" spans="1:7" x14ac:dyDescent="0.25">
      <c r="A7" s="53"/>
      <c r="B7" s="53"/>
      <c r="C7" s="1" t="s">
        <v>9</v>
      </c>
      <c r="D7" s="2" t="s">
        <v>160</v>
      </c>
      <c r="E7" s="2" t="s">
        <v>161</v>
      </c>
      <c r="F7" s="2" t="s">
        <v>39</v>
      </c>
      <c r="G7" s="2" t="s">
        <v>8</v>
      </c>
    </row>
    <row r="8" spans="1:7" x14ac:dyDescent="0.25">
      <c r="A8" s="53"/>
      <c r="B8" s="53" t="s">
        <v>12</v>
      </c>
      <c r="C8" s="1" t="s">
        <v>2</v>
      </c>
      <c r="D8" s="2">
        <v>385</v>
      </c>
      <c r="E8" s="2">
        <v>90</v>
      </c>
      <c r="F8" s="2">
        <v>2</v>
      </c>
      <c r="G8" s="2">
        <v>477</v>
      </c>
    </row>
    <row r="9" spans="1:7" x14ac:dyDescent="0.25">
      <c r="A9" s="53"/>
      <c r="B9" s="53"/>
      <c r="C9" s="1" t="s">
        <v>3</v>
      </c>
      <c r="D9" s="2" t="s">
        <v>162</v>
      </c>
      <c r="E9" s="2" t="s">
        <v>163</v>
      </c>
      <c r="F9" s="2" t="s">
        <v>39</v>
      </c>
      <c r="G9" s="2" t="s">
        <v>5</v>
      </c>
    </row>
    <row r="10" spans="1:7" ht="30" x14ac:dyDescent="0.25">
      <c r="A10" s="53"/>
      <c r="B10" s="53"/>
      <c r="C10" s="1" t="s">
        <v>6</v>
      </c>
      <c r="D10" s="2" t="s">
        <v>164</v>
      </c>
      <c r="E10" s="2" t="s">
        <v>165</v>
      </c>
      <c r="F10" s="2" t="s">
        <v>30</v>
      </c>
      <c r="G10" s="2" t="s">
        <v>16</v>
      </c>
    </row>
    <row r="11" spans="1:7" x14ac:dyDescent="0.25">
      <c r="A11" s="53"/>
      <c r="B11" s="53"/>
      <c r="C11" s="1" t="s">
        <v>9</v>
      </c>
      <c r="D11" s="2" t="s">
        <v>166</v>
      </c>
      <c r="E11" s="2" t="s">
        <v>167</v>
      </c>
      <c r="F11" s="2" t="s">
        <v>45</v>
      </c>
      <c r="G11" s="2" t="s">
        <v>16</v>
      </c>
    </row>
    <row r="14" spans="1:7" ht="105" x14ac:dyDescent="0.25">
      <c r="A14" s="14"/>
      <c r="B14" s="26" t="s">
        <v>155</v>
      </c>
      <c r="C14" s="26" t="s">
        <v>156</v>
      </c>
      <c r="D14" s="26" t="s">
        <v>157</v>
      </c>
      <c r="E14" s="27" t="s">
        <v>19</v>
      </c>
    </row>
    <row r="15" spans="1:7" x14ac:dyDescent="0.25">
      <c r="A15" s="26" t="s">
        <v>1</v>
      </c>
      <c r="B15" s="27">
        <v>252</v>
      </c>
      <c r="C15" s="27">
        <v>78</v>
      </c>
      <c r="D15" s="27">
        <v>4</v>
      </c>
      <c r="E15" s="27">
        <v>334</v>
      </c>
    </row>
    <row r="16" spans="1:7" ht="30" x14ac:dyDescent="0.25">
      <c r="A16" s="26" t="s">
        <v>12</v>
      </c>
      <c r="B16" s="27">
        <v>385</v>
      </c>
      <c r="C16" s="27">
        <v>90</v>
      </c>
      <c r="D16" s="27">
        <v>2</v>
      </c>
      <c r="E16" s="27">
        <v>477</v>
      </c>
    </row>
    <row r="17" spans="1:7" x14ac:dyDescent="0.25">
      <c r="A17" s="26"/>
      <c r="B17" s="26">
        <f>SUM(B15:B16)</f>
        <v>637</v>
      </c>
      <c r="C17" s="27">
        <f>SUM(C15:C16)</f>
        <v>168</v>
      </c>
      <c r="D17" s="27">
        <f>SUM(D15:D16)</f>
        <v>6</v>
      </c>
      <c r="E17" s="27">
        <f>SUM(E15:E16)</f>
        <v>811</v>
      </c>
      <c r="F17" s="2"/>
    </row>
    <row r="18" spans="1:7" x14ac:dyDescent="0.25">
      <c r="A18" s="1"/>
      <c r="B18" s="1"/>
      <c r="C18" s="2"/>
      <c r="D18" s="2"/>
      <c r="E18" s="2"/>
      <c r="F18" s="2"/>
    </row>
    <row r="19" spans="1:7" ht="15" customHeight="1" x14ac:dyDescent="0.25">
      <c r="A19" s="17"/>
      <c r="B19" s="8" t="s">
        <v>155</v>
      </c>
      <c r="C19" s="8" t="s">
        <v>156</v>
      </c>
      <c r="D19" s="8" t="s">
        <v>157</v>
      </c>
      <c r="E19" s="10" t="s">
        <v>19</v>
      </c>
    </row>
    <row r="20" spans="1:7" x14ac:dyDescent="0.25">
      <c r="A20" s="8" t="s">
        <v>1</v>
      </c>
      <c r="B20" s="36">
        <f>B15/E17</f>
        <v>0.31072749691738594</v>
      </c>
      <c r="C20" s="36">
        <f>C15/E17</f>
        <v>9.6177558569667074E-2</v>
      </c>
      <c r="D20" s="36">
        <f>D15/E17</f>
        <v>4.9321824907521579E-3</v>
      </c>
      <c r="E20" s="36">
        <f>SUM(B20:D20)</f>
        <v>0.41183723797780519</v>
      </c>
      <c r="F20" s="35"/>
      <c r="G20" s="35"/>
    </row>
    <row r="21" spans="1:7" ht="30" x14ac:dyDescent="0.25">
      <c r="A21" s="8" t="s">
        <v>12</v>
      </c>
      <c r="B21" s="36">
        <f>B16/E17</f>
        <v>0.47472256473489521</v>
      </c>
      <c r="C21" s="36">
        <f>C16/E17</f>
        <v>0.11097410604192355</v>
      </c>
      <c r="D21" s="36">
        <f>D16/E17</f>
        <v>2.4660912453760789E-3</v>
      </c>
      <c r="E21" s="36">
        <f>SUM(B21:D21)</f>
        <v>0.58816276202219486</v>
      </c>
      <c r="F21" s="35"/>
      <c r="G21" s="35"/>
    </row>
    <row r="22" spans="1:7" x14ac:dyDescent="0.25">
      <c r="A22" s="17"/>
      <c r="B22" s="37">
        <f ca="1">SUM(B20:B22)</f>
        <v>0.78545006165228115</v>
      </c>
      <c r="C22" s="37">
        <f>SUM(C20:C21)</f>
        <v>0.20715166461159062</v>
      </c>
      <c r="D22" s="37">
        <f>SUM(D20:D21)</f>
        <v>7.3982737361282368E-3</v>
      </c>
      <c r="E22" s="37">
        <f>SUM(E20:E21)</f>
        <v>1</v>
      </c>
      <c r="F22" s="35"/>
      <c r="G22" s="35"/>
    </row>
    <row r="23" spans="1:7" x14ac:dyDescent="0.25">
      <c r="A23" s="17"/>
      <c r="B23" s="17"/>
      <c r="C23" s="37"/>
      <c r="D23" s="37"/>
      <c r="E23" s="37"/>
      <c r="F23" s="35"/>
      <c r="G23" s="35"/>
    </row>
    <row r="24" spans="1:7" x14ac:dyDescent="0.25">
      <c r="B24" s="35"/>
      <c r="C24" s="35"/>
      <c r="D24" s="35"/>
      <c r="E24" s="35"/>
      <c r="F24" s="35"/>
      <c r="G24" s="35"/>
    </row>
  </sheetData>
  <mergeCells count="3">
    <mergeCell ref="A4:A11"/>
    <mergeCell ref="B4:B7"/>
    <mergeCell ref="B8:B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13AE-D83E-40A6-B6AE-F0D5E35611CD}">
  <dimension ref="A1:E14"/>
  <sheetViews>
    <sheetView workbookViewId="0">
      <selection activeCell="F15" sqref="A1:F15"/>
    </sheetView>
  </sheetViews>
  <sheetFormatPr baseColWidth="10" defaultRowHeight="15" x14ac:dyDescent="0.25"/>
  <sheetData>
    <row r="1" spans="1:5" x14ac:dyDescent="0.25">
      <c r="A1" s="3" t="s">
        <v>168</v>
      </c>
    </row>
    <row r="4" spans="1:5" ht="75" x14ac:dyDescent="0.25">
      <c r="A4" s="1"/>
      <c r="B4" s="1"/>
      <c r="C4" s="1" t="s">
        <v>169</v>
      </c>
      <c r="D4" s="1" t="s">
        <v>170</v>
      </c>
      <c r="E4" s="2"/>
    </row>
    <row r="5" spans="1:5" x14ac:dyDescent="0.25">
      <c r="A5" s="1" t="s">
        <v>1</v>
      </c>
      <c r="B5" s="1" t="s">
        <v>2</v>
      </c>
      <c r="C5" s="2">
        <v>267</v>
      </c>
      <c r="D5" s="2">
        <v>67</v>
      </c>
      <c r="E5" s="2">
        <v>334</v>
      </c>
    </row>
    <row r="6" spans="1:5" ht="15" customHeight="1" x14ac:dyDescent="0.25">
      <c r="A6" s="1" t="s">
        <v>12</v>
      </c>
      <c r="B6" s="1" t="s">
        <v>2</v>
      </c>
      <c r="C6" s="2">
        <v>383</v>
      </c>
      <c r="D6" s="2">
        <v>94</v>
      </c>
      <c r="E6" s="2">
        <v>477</v>
      </c>
    </row>
    <row r="7" spans="1:5" x14ac:dyDescent="0.25">
      <c r="C7">
        <f>SUM(C5:C6)</f>
        <v>650</v>
      </c>
      <c r="D7">
        <f>SUM(D5:D6)</f>
        <v>161</v>
      </c>
      <c r="E7">
        <f>SUM(E5:E6)</f>
        <v>811</v>
      </c>
    </row>
    <row r="9" spans="1:5" ht="75" x14ac:dyDescent="0.25">
      <c r="A9" s="1"/>
      <c r="B9" s="1"/>
      <c r="C9" s="1" t="s">
        <v>169</v>
      </c>
      <c r="D9" s="1" t="s">
        <v>170</v>
      </c>
      <c r="E9" s="2"/>
    </row>
    <row r="10" spans="1:5" x14ac:dyDescent="0.25">
      <c r="A10" s="1" t="s">
        <v>1</v>
      </c>
      <c r="B10" s="1" t="s">
        <v>331</v>
      </c>
      <c r="C10" s="16">
        <f>C5/E7</f>
        <v>0.32922318125770655</v>
      </c>
      <c r="D10" s="30">
        <f>D5/E7</f>
        <v>8.2614056720098639E-2</v>
      </c>
      <c r="E10" s="30">
        <f>SUM(C10:D10)</f>
        <v>0.41183723797780519</v>
      </c>
    </row>
    <row r="11" spans="1:5" ht="30" x14ac:dyDescent="0.25">
      <c r="A11" s="1" t="s">
        <v>12</v>
      </c>
      <c r="B11" s="1" t="s">
        <v>331</v>
      </c>
      <c r="C11" s="30">
        <f>C6/E7</f>
        <v>0.4722564734895191</v>
      </c>
      <c r="D11" s="30">
        <f>D6/E7</f>
        <v>0.11590628853267571</v>
      </c>
      <c r="E11" s="30">
        <f>SUM(C11:D11)</f>
        <v>0.58816276202219475</v>
      </c>
    </row>
    <row r="12" spans="1:5" x14ac:dyDescent="0.25">
      <c r="C12" s="16">
        <f>SUM(C10:C11)</f>
        <v>0.8014796547472256</v>
      </c>
      <c r="D12" s="16">
        <f>SUM(D10:D11)</f>
        <v>0.19852034525277434</v>
      </c>
      <c r="E12" s="16">
        <f>SUM(E10:E11)</f>
        <v>1</v>
      </c>
    </row>
    <row r="13" spans="1:5" x14ac:dyDescent="0.25">
      <c r="C13" s="16"/>
      <c r="D13" s="16"/>
      <c r="E13" s="16"/>
    </row>
    <row r="14" spans="1:5" x14ac:dyDescent="0.25">
      <c r="C14" s="16"/>
      <c r="D14" s="16"/>
      <c r="E14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F707-2263-4ADA-B438-4B3D506F8B73}">
  <dimension ref="A1:H27"/>
  <sheetViews>
    <sheetView topLeftCell="A10" workbookViewId="0">
      <selection sqref="A1:H27"/>
    </sheetView>
  </sheetViews>
  <sheetFormatPr baseColWidth="10" defaultRowHeight="15" x14ac:dyDescent="0.25"/>
  <sheetData>
    <row r="1" spans="1:8" x14ac:dyDescent="0.25">
      <c r="A1" s="3" t="s">
        <v>173</v>
      </c>
    </row>
    <row r="2" spans="1:8" x14ac:dyDescent="0.25">
      <c r="A2" s="1"/>
      <c r="B2" s="1"/>
      <c r="C2" s="1"/>
      <c r="D2" s="1" t="s">
        <v>19</v>
      </c>
    </row>
    <row r="3" spans="1:8" ht="135" x14ac:dyDescent="0.25">
      <c r="A3" s="1"/>
      <c r="B3" s="1"/>
      <c r="C3" s="1"/>
      <c r="D3" s="1" t="s">
        <v>174</v>
      </c>
      <c r="E3" s="1" t="s">
        <v>175</v>
      </c>
      <c r="F3" s="1" t="s">
        <v>176</v>
      </c>
      <c r="G3" s="1" t="s">
        <v>177</v>
      </c>
      <c r="H3" s="2"/>
    </row>
    <row r="4" spans="1:8" x14ac:dyDescent="0.25">
      <c r="A4" s="53" t="s">
        <v>0</v>
      </c>
      <c r="B4" s="53" t="s">
        <v>1</v>
      </c>
      <c r="C4" s="1" t="s">
        <v>2</v>
      </c>
      <c r="D4" s="2">
        <v>299</v>
      </c>
      <c r="E4" s="2">
        <v>10</v>
      </c>
      <c r="F4" s="2">
        <v>25</v>
      </c>
      <c r="G4" s="2">
        <v>0</v>
      </c>
      <c r="H4" s="2">
        <v>334</v>
      </c>
    </row>
    <row r="5" spans="1:8" x14ac:dyDescent="0.25">
      <c r="A5" s="53"/>
      <c r="B5" s="53"/>
      <c r="C5" s="1" t="s">
        <v>3</v>
      </c>
      <c r="D5" s="2" t="s">
        <v>178</v>
      </c>
      <c r="E5" s="2" t="s">
        <v>4</v>
      </c>
      <c r="F5" s="2" t="s">
        <v>179</v>
      </c>
      <c r="G5" s="2" t="s">
        <v>26</v>
      </c>
      <c r="H5" s="2" t="s">
        <v>5</v>
      </c>
    </row>
    <row r="6" spans="1:8" ht="30" x14ac:dyDescent="0.25">
      <c r="A6" s="53"/>
      <c r="B6" s="53"/>
      <c r="C6" s="1" t="s">
        <v>6</v>
      </c>
      <c r="D6" s="2" t="s">
        <v>180</v>
      </c>
      <c r="E6" s="2" t="s">
        <v>181</v>
      </c>
      <c r="F6" s="2" t="s">
        <v>182</v>
      </c>
      <c r="G6" s="2" t="s">
        <v>26</v>
      </c>
      <c r="H6" s="2" t="s">
        <v>8</v>
      </c>
    </row>
    <row r="7" spans="1:8" x14ac:dyDescent="0.25">
      <c r="A7" s="53"/>
      <c r="B7" s="53"/>
      <c r="C7" s="1" t="s">
        <v>9</v>
      </c>
      <c r="D7" s="2" t="s">
        <v>183</v>
      </c>
      <c r="E7" s="2" t="s">
        <v>10</v>
      </c>
      <c r="F7" s="2" t="s">
        <v>184</v>
      </c>
      <c r="G7" s="2" t="s">
        <v>26</v>
      </c>
      <c r="H7" s="2" t="s">
        <v>8</v>
      </c>
    </row>
    <row r="8" spans="1:8" x14ac:dyDescent="0.25">
      <c r="A8" s="53"/>
      <c r="B8" s="53" t="s">
        <v>12</v>
      </c>
      <c r="C8" s="1" t="s">
        <v>2</v>
      </c>
      <c r="D8" s="2">
        <v>423</v>
      </c>
      <c r="E8" s="2">
        <v>6</v>
      </c>
      <c r="F8" s="2">
        <v>43</v>
      </c>
      <c r="G8" s="2">
        <v>5</v>
      </c>
      <c r="H8" s="2">
        <v>477</v>
      </c>
    </row>
    <row r="9" spans="1:8" x14ac:dyDescent="0.25">
      <c r="A9" s="53"/>
      <c r="B9" s="53"/>
      <c r="C9" s="1" t="s">
        <v>3</v>
      </c>
      <c r="D9" s="2" t="s">
        <v>185</v>
      </c>
      <c r="E9" s="2" t="s">
        <v>85</v>
      </c>
      <c r="F9" s="2" t="s">
        <v>186</v>
      </c>
      <c r="G9" s="2" t="s">
        <v>10</v>
      </c>
      <c r="H9" s="2" t="s">
        <v>5</v>
      </c>
    </row>
    <row r="10" spans="1:8" ht="30" x14ac:dyDescent="0.25">
      <c r="A10" s="53"/>
      <c r="B10" s="53"/>
      <c r="C10" s="1" t="s">
        <v>6</v>
      </c>
      <c r="D10" s="2" t="s">
        <v>113</v>
      </c>
      <c r="E10" s="2" t="s">
        <v>187</v>
      </c>
      <c r="F10" s="2" t="s">
        <v>188</v>
      </c>
      <c r="G10" s="2" t="s">
        <v>5</v>
      </c>
      <c r="H10" s="2" t="s">
        <v>16</v>
      </c>
    </row>
    <row r="11" spans="1:8" x14ac:dyDescent="0.25">
      <c r="A11" s="53"/>
      <c r="B11" s="53"/>
      <c r="C11" s="1" t="s">
        <v>9</v>
      </c>
      <c r="D11" s="2" t="s">
        <v>189</v>
      </c>
      <c r="E11" s="2" t="s">
        <v>61</v>
      </c>
      <c r="F11" s="2" t="s">
        <v>190</v>
      </c>
      <c r="G11" s="2" t="s">
        <v>53</v>
      </c>
      <c r="H11" s="2" t="s">
        <v>16</v>
      </c>
    </row>
    <row r="16" spans="1:8" ht="135" x14ac:dyDescent="0.25">
      <c r="A16" s="1"/>
      <c r="B16" s="1" t="s">
        <v>174</v>
      </c>
      <c r="C16" s="1" t="s">
        <v>175</v>
      </c>
      <c r="D16" s="1" t="s">
        <v>176</v>
      </c>
      <c r="E16" s="1" t="s">
        <v>177</v>
      </c>
      <c r="F16" s="2"/>
    </row>
    <row r="17" spans="1:6" x14ac:dyDescent="0.25">
      <c r="A17" s="1" t="s">
        <v>1</v>
      </c>
      <c r="B17" s="2">
        <v>299</v>
      </c>
      <c r="C17" s="2">
        <v>10</v>
      </c>
      <c r="D17" s="2">
        <v>25</v>
      </c>
      <c r="E17" s="2">
        <v>0</v>
      </c>
      <c r="F17" s="2">
        <v>334</v>
      </c>
    </row>
    <row r="18" spans="1:6" ht="15" customHeight="1" x14ac:dyDescent="0.25">
      <c r="A18" s="1" t="s">
        <v>12</v>
      </c>
      <c r="B18" s="2">
        <v>423</v>
      </c>
      <c r="C18" s="2">
        <v>6</v>
      </c>
      <c r="D18" s="2">
        <v>43</v>
      </c>
      <c r="E18" s="2">
        <v>5</v>
      </c>
      <c r="F18" s="2">
        <v>477</v>
      </c>
    </row>
    <row r="19" spans="1:6" x14ac:dyDescent="0.25">
      <c r="B19">
        <f>SUM(B17:B18)</f>
        <v>722</v>
      </c>
      <c r="C19">
        <f>SUM(C17:C18)</f>
        <v>16</v>
      </c>
      <c r="D19">
        <f>SUM(D17:D18)</f>
        <v>68</v>
      </c>
      <c r="E19">
        <f>SUM(E17:E18)</f>
        <v>5</v>
      </c>
      <c r="F19">
        <f>SUM(F17:F18)</f>
        <v>811</v>
      </c>
    </row>
    <row r="22" spans="1:6" ht="135" x14ac:dyDescent="0.25">
      <c r="A22" s="1"/>
      <c r="B22" s="1" t="s">
        <v>174</v>
      </c>
      <c r="C22" s="1" t="s">
        <v>175</v>
      </c>
      <c r="D22" s="1" t="s">
        <v>176</v>
      </c>
      <c r="E22" s="1" t="s">
        <v>177</v>
      </c>
      <c r="F22" s="2"/>
    </row>
    <row r="23" spans="1:6" x14ac:dyDescent="0.25">
      <c r="A23" s="1" t="s">
        <v>1</v>
      </c>
      <c r="B23" s="6">
        <f>B17/F19</f>
        <v>0.36868064118372379</v>
      </c>
      <c r="C23" s="6">
        <f>C17/F19</f>
        <v>1.2330456226880395E-2</v>
      </c>
      <c r="D23" s="6">
        <f>D17/F19</f>
        <v>3.0826140567200986E-2</v>
      </c>
      <c r="E23" s="6">
        <f>E17/F19</f>
        <v>0</v>
      </c>
      <c r="F23" s="6">
        <f>SUM(B23:E23)</f>
        <v>0.41183723797780519</v>
      </c>
    </row>
    <row r="24" spans="1:6" ht="30" x14ac:dyDescent="0.25">
      <c r="A24" s="1" t="s">
        <v>12</v>
      </c>
      <c r="B24" s="6">
        <f>B18/F19</f>
        <v>0.52157829839704073</v>
      </c>
      <c r="C24" s="6">
        <f>C18/F19</f>
        <v>7.3982737361282368E-3</v>
      </c>
      <c r="D24" s="6">
        <f>D18/F19</f>
        <v>5.3020961775585698E-2</v>
      </c>
      <c r="E24" s="6">
        <f>E18/F19</f>
        <v>6.1652281134401974E-3</v>
      </c>
      <c r="F24" s="6">
        <f>SUM(B24:E24)</f>
        <v>0.58816276202219486</v>
      </c>
    </row>
    <row r="25" spans="1:6" x14ac:dyDescent="0.25">
      <c r="B25" s="5">
        <f>SUM(B23:B24)</f>
        <v>0.89025893958076452</v>
      </c>
      <c r="C25" s="5">
        <f>SUM(C23:C24)</f>
        <v>1.9728729963008632E-2</v>
      </c>
      <c r="D25" s="5">
        <f>SUM(D23:D24)</f>
        <v>8.3847102342786681E-2</v>
      </c>
      <c r="E25" s="5">
        <f>SUM(E23:E24)</f>
        <v>6.1652281134401974E-3</v>
      </c>
      <c r="F25" s="5">
        <f>SUM(F23:F24)</f>
        <v>1</v>
      </c>
    </row>
    <row r="26" spans="1:6" x14ac:dyDescent="0.25">
      <c r="B26" s="5"/>
      <c r="C26" s="5"/>
      <c r="D26" s="5"/>
      <c r="E26" s="5"/>
      <c r="F26" s="5"/>
    </row>
    <row r="27" spans="1:6" x14ac:dyDescent="0.25">
      <c r="B27" s="5"/>
      <c r="C27" s="5"/>
      <c r="D27" s="5"/>
      <c r="E27" s="5"/>
      <c r="F27" s="5"/>
    </row>
  </sheetData>
  <mergeCells count="3">
    <mergeCell ref="A4:A11"/>
    <mergeCell ref="B4:B7"/>
    <mergeCell ref="B8:B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CB89-419F-4175-AB70-3801611FD36D}">
  <dimension ref="A1:AS20"/>
  <sheetViews>
    <sheetView topLeftCell="W23" zoomScale="82" zoomScaleNormal="82" workbookViewId="0">
      <selection activeCell="AF48" sqref="AF48"/>
    </sheetView>
  </sheetViews>
  <sheetFormatPr baseColWidth="10" defaultRowHeight="15" x14ac:dyDescent="0.25"/>
  <sheetData>
    <row r="1" spans="1:45" x14ac:dyDescent="0.25">
      <c r="A1" s="4" t="s">
        <v>347</v>
      </c>
    </row>
    <row r="2" spans="1:45" x14ac:dyDescent="0.25">
      <c r="A2" s="1"/>
      <c r="B2" s="1"/>
    </row>
    <row r="3" spans="1:45" ht="120" x14ac:dyDescent="0.25">
      <c r="A3" s="1"/>
      <c r="B3" s="1" t="s">
        <v>191</v>
      </c>
      <c r="C3" s="38" t="s">
        <v>192</v>
      </c>
      <c r="D3" s="38" t="s">
        <v>193</v>
      </c>
      <c r="E3" s="38" t="s">
        <v>194</v>
      </c>
      <c r="F3" s="38" t="s">
        <v>195</v>
      </c>
      <c r="G3" s="38" t="s">
        <v>196</v>
      </c>
      <c r="H3" s="38" t="s">
        <v>197</v>
      </c>
      <c r="I3" s="38" t="s">
        <v>198</v>
      </c>
      <c r="J3" s="38" t="s">
        <v>199</v>
      </c>
      <c r="K3" s="38" t="s">
        <v>200</v>
      </c>
      <c r="L3" s="38" t="s">
        <v>201</v>
      </c>
      <c r="M3" s="38" t="s">
        <v>202</v>
      </c>
      <c r="N3" s="38" t="s">
        <v>203</v>
      </c>
      <c r="O3" s="38" t="s">
        <v>204</v>
      </c>
      <c r="P3" s="38" t="s">
        <v>205</v>
      </c>
      <c r="Q3" s="38" t="s">
        <v>206</v>
      </c>
      <c r="R3" s="38" t="s">
        <v>207</v>
      </c>
      <c r="S3" s="38" t="s">
        <v>208</v>
      </c>
      <c r="T3" s="38" t="s">
        <v>209</v>
      </c>
      <c r="U3" s="38" t="s">
        <v>210</v>
      </c>
      <c r="V3" s="38" t="s">
        <v>211</v>
      </c>
      <c r="W3" s="38" t="s">
        <v>212</v>
      </c>
      <c r="X3" s="38" t="s">
        <v>213</v>
      </c>
      <c r="Y3" s="38" t="s">
        <v>214</v>
      </c>
      <c r="Z3" s="38" t="s">
        <v>215</v>
      </c>
      <c r="AA3" s="38" t="s">
        <v>216</v>
      </c>
      <c r="AB3" s="38" t="s">
        <v>217</v>
      </c>
      <c r="AC3" s="38" t="s">
        <v>218</v>
      </c>
      <c r="AD3" s="38" t="s">
        <v>219</v>
      </c>
      <c r="AE3" s="38" t="s">
        <v>220</v>
      </c>
      <c r="AF3" s="38" t="s">
        <v>221</v>
      </c>
      <c r="AG3" s="38" t="s">
        <v>222</v>
      </c>
      <c r="AH3" s="38" t="s">
        <v>223</v>
      </c>
      <c r="AI3" s="38" t="s">
        <v>224</v>
      </c>
      <c r="AJ3" s="38" t="s">
        <v>225</v>
      </c>
      <c r="AK3" s="38" t="s">
        <v>226</v>
      </c>
      <c r="AL3" s="38" t="s">
        <v>227</v>
      </c>
      <c r="AM3" s="38" t="s">
        <v>228</v>
      </c>
      <c r="AN3" s="38" t="s">
        <v>229</v>
      </c>
      <c r="AO3" s="38" t="s">
        <v>230</v>
      </c>
      <c r="AP3" s="38" t="s">
        <v>231</v>
      </c>
      <c r="AQ3" s="38" t="s">
        <v>232</v>
      </c>
      <c r="AR3" s="38" t="s">
        <v>233</v>
      </c>
      <c r="AS3" s="2"/>
    </row>
    <row r="4" spans="1:45" x14ac:dyDescent="0.25">
      <c r="A4" s="1" t="s">
        <v>1</v>
      </c>
      <c r="B4" s="2">
        <v>14</v>
      </c>
      <c r="C4" s="2">
        <v>6</v>
      </c>
      <c r="D4" s="2">
        <v>1</v>
      </c>
      <c r="E4" s="2">
        <v>1</v>
      </c>
      <c r="F4" s="2">
        <v>2</v>
      </c>
      <c r="G4" s="2">
        <v>0</v>
      </c>
      <c r="H4" s="2">
        <v>3</v>
      </c>
      <c r="I4" s="2">
        <v>1</v>
      </c>
      <c r="J4" s="2">
        <v>14</v>
      </c>
      <c r="K4" s="2">
        <v>64</v>
      </c>
      <c r="L4" s="2">
        <v>0</v>
      </c>
      <c r="M4" s="2">
        <v>5</v>
      </c>
      <c r="N4" s="2">
        <v>0</v>
      </c>
      <c r="O4" s="2">
        <v>9</v>
      </c>
      <c r="P4" s="2">
        <v>0</v>
      </c>
      <c r="Q4" s="2">
        <v>0</v>
      </c>
      <c r="R4" s="2">
        <v>0</v>
      </c>
      <c r="S4" s="2">
        <v>2</v>
      </c>
      <c r="T4" s="2">
        <v>15</v>
      </c>
      <c r="U4" s="2">
        <v>3</v>
      </c>
      <c r="V4" s="2">
        <v>32</v>
      </c>
      <c r="W4" s="2">
        <v>0</v>
      </c>
      <c r="X4" s="2">
        <v>12</v>
      </c>
      <c r="Y4" s="2">
        <v>22</v>
      </c>
      <c r="Z4" s="2">
        <v>15</v>
      </c>
      <c r="AA4" s="2">
        <v>7</v>
      </c>
      <c r="AB4" s="2">
        <v>1</v>
      </c>
      <c r="AC4" s="2">
        <v>0</v>
      </c>
      <c r="AD4" s="2">
        <v>57</v>
      </c>
      <c r="AE4" s="2">
        <v>3</v>
      </c>
      <c r="AF4" s="2">
        <v>0</v>
      </c>
      <c r="AG4" s="2">
        <v>0</v>
      </c>
      <c r="AH4" s="2">
        <v>13</v>
      </c>
      <c r="AI4" s="2">
        <v>0</v>
      </c>
      <c r="AJ4" s="2">
        <v>8</v>
      </c>
      <c r="AK4" s="2">
        <v>0</v>
      </c>
      <c r="AL4" s="2">
        <v>6</v>
      </c>
      <c r="AM4" s="2">
        <v>3</v>
      </c>
      <c r="AN4" s="2">
        <v>0</v>
      </c>
      <c r="AO4" s="2">
        <v>2</v>
      </c>
      <c r="AP4" s="2">
        <v>6</v>
      </c>
      <c r="AQ4" s="2">
        <v>7</v>
      </c>
      <c r="AR4" s="2">
        <v>0</v>
      </c>
      <c r="AS4" s="2">
        <v>334</v>
      </c>
    </row>
    <row r="5" spans="1:45" ht="15" customHeight="1" x14ac:dyDescent="0.25">
      <c r="A5" s="1" t="s">
        <v>12</v>
      </c>
      <c r="B5" s="2">
        <v>24</v>
      </c>
      <c r="C5" s="2">
        <v>14</v>
      </c>
      <c r="D5" s="2">
        <v>1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24</v>
      </c>
      <c r="K5" s="2">
        <v>92</v>
      </c>
      <c r="L5" s="2">
        <v>1</v>
      </c>
      <c r="M5" s="2">
        <v>2</v>
      </c>
      <c r="N5" s="2">
        <v>1</v>
      </c>
      <c r="O5" s="2">
        <v>11</v>
      </c>
      <c r="P5" s="2">
        <v>2</v>
      </c>
      <c r="Q5" s="2">
        <v>0</v>
      </c>
      <c r="R5" s="2">
        <v>1</v>
      </c>
      <c r="S5" s="2">
        <v>1</v>
      </c>
      <c r="T5" s="2">
        <v>7</v>
      </c>
      <c r="U5" s="2">
        <v>14</v>
      </c>
      <c r="V5" s="2">
        <v>38</v>
      </c>
      <c r="W5" s="2">
        <v>2</v>
      </c>
      <c r="X5" s="2">
        <v>20</v>
      </c>
      <c r="Y5" s="2">
        <v>25</v>
      </c>
      <c r="Z5" s="2">
        <v>3</v>
      </c>
      <c r="AA5" s="2">
        <v>16</v>
      </c>
      <c r="AB5" s="2">
        <v>0</v>
      </c>
      <c r="AC5" s="2">
        <v>1</v>
      </c>
      <c r="AD5" s="2">
        <v>116</v>
      </c>
      <c r="AE5" s="2">
        <v>3</v>
      </c>
      <c r="AF5" s="2">
        <v>3</v>
      </c>
      <c r="AG5" s="2">
        <v>1</v>
      </c>
      <c r="AH5" s="2">
        <v>4</v>
      </c>
      <c r="AI5" s="2">
        <v>0</v>
      </c>
      <c r="AJ5" s="2">
        <v>4</v>
      </c>
      <c r="AK5" s="2">
        <v>0</v>
      </c>
      <c r="AL5" s="2">
        <v>11</v>
      </c>
      <c r="AM5" s="2">
        <v>5</v>
      </c>
      <c r="AN5" s="2">
        <v>0</v>
      </c>
      <c r="AO5" s="2">
        <v>2</v>
      </c>
      <c r="AP5" s="2">
        <v>19</v>
      </c>
      <c r="AQ5" s="2">
        <v>8</v>
      </c>
      <c r="AR5" s="2">
        <v>0</v>
      </c>
      <c r="AS5" s="2">
        <v>477</v>
      </c>
    </row>
    <row r="6" spans="1:45" s="4" customFormat="1" x14ac:dyDescent="0.25">
      <c r="A6" s="4" t="s">
        <v>345</v>
      </c>
      <c r="B6" s="4">
        <f t="shared" ref="B6:AS6" si="0">SUM(B4:B5)</f>
        <v>38</v>
      </c>
      <c r="C6" s="4">
        <f t="shared" si="0"/>
        <v>20</v>
      </c>
      <c r="D6" s="4">
        <f t="shared" si="0"/>
        <v>2</v>
      </c>
      <c r="E6" s="4">
        <f t="shared" si="0"/>
        <v>2</v>
      </c>
      <c r="F6" s="4">
        <f t="shared" si="0"/>
        <v>2</v>
      </c>
      <c r="G6" s="4">
        <f t="shared" si="0"/>
        <v>0</v>
      </c>
      <c r="H6" s="4">
        <f t="shared" si="0"/>
        <v>3</v>
      </c>
      <c r="I6" s="4">
        <f t="shared" si="0"/>
        <v>1</v>
      </c>
      <c r="J6" s="4">
        <f t="shared" si="0"/>
        <v>38</v>
      </c>
      <c r="K6" s="4">
        <f t="shared" si="0"/>
        <v>156</v>
      </c>
      <c r="L6" s="4">
        <f t="shared" si="0"/>
        <v>1</v>
      </c>
      <c r="M6" s="4">
        <f t="shared" si="0"/>
        <v>7</v>
      </c>
      <c r="N6" s="4">
        <f t="shared" si="0"/>
        <v>1</v>
      </c>
      <c r="O6" s="4">
        <f t="shared" si="0"/>
        <v>20</v>
      </c>
      <c r="P6" s="4">
        <f t="shared" si="0"/>
        <v>2</v>
      </c>
      <c r="Q6" s="4">
        <f t="shared" si="0"/>
        <v>0</v>
      </c>
      <c r="R6" s="4">
        <f t="shared" si="0"/>
        <v>1</v>
      </c>
      <c r="S6" s="4">
        <f t="shared" si="0"/>
        <v>3</v>
      </c>
      <c r="T6" s="4">
        <f t="shared" si="0"/>
        <v>22</v>
      </c>
      <c r="U6" s="4">
        <f t="shared" si="0"/>
        <v>17</v>
      </c>
      <c r="V6" s="4">
        <f t="shared" si="0"/>
        <v>70</v>
      </c>
      <c r="W6" s="4">
        <f t="shared" si="0"/>
        <v>2</v>
      </c>
      <c r="X6" s="4">
        <f t="shared" si="0"/>
        <v>32</v>
      </c>
      <c r="Y6" s="4">
        <f t="shared" si="0"/>
        <v>47</v>
      </c>
      <c r="Z6" s="4">
        <f t="shared" si="0"/>
        <v>18</v>
      </c>
      <c r="AA6" s="4">
        <f t="shared" si="0"/>
        <v>23</v>
      </c>
      <c r="AB6" s="4">
        <f t="shared" si="0"/>
        <v>1</v>
      </c>
      <c r="AC6" s="4">
        <f t="shared" si="0"/>
        <v>1</v>
      </c>
      <c r="AD6" s="4">
        <f t="shared" si="0"/>
        <v>173</v>
      </c>
      <c r="AE6" s="4">
        <f t="shared" si="0"/>
        <v>6</v>
      </c>
      <c r="AF6" s="4">
        <f t="shared" si="0"/>
        <v>3</v>
      </c>
      <c r="AG6" s="4">
        <f t="shared" si="0"/>
        <v>1</v>
      </c>
      <c r="AH6" s="4">
        <f t="shared" si="0"/>
        <v>17</v>
      </c>
      <c r="AI6" s="4">
        <f t="shared" si="0"/>
        <v>0</v>
      </c>
      <c r="AJ6" s="4">
        <f t="shared" si="0"/>
        <v>12</v>
      </c>
      <c r="AK6" s="4">
        <f t="shared" si="0"/>
        <v>0</v>
      </c>
      <c r="AL6" s="4">
        <f t="shared" si="0"/>
        <v>17</v>
      </c>
      <c r="AM6" s="4">
        <f t="shared" si="0"/>
        <v>8</v>
      </c>
      <c r="AN6" s="4">
        <f t="shared" si="0"/>
        <v>0</v>
      </c>
      <c r="AO6" s="4">
        <f t="shared" si="0"/>
        <v>4</v>
      </c>
      <c r="AP6" s="4">
        <f t="shared" si="0"/>
        <v>25</v>
      </c>
      <c r="AQ6" s="4">
        <f t="shared" si="0"/>
        <v>15</v>
      </c>
      <c r="AR6" s="4">
        <f t="shared" si="0"/>
        <v>0</v>
      </c>
      <c r="AS6" s="4">
        <f t="shared" si="0"/>
        <v>811</v>
      </c>
    </row>
    <row r="11" spans="1:45" ht="60" x14ac:dyDescent="0.25">
      <c r="J11" s="1"/>
      <c r="W11" s="17"/>
      <c r="X11" s="10" t="s">
        <v>355</v>
      </c>
      <c r="Y11" s="10" t="s">
        <v>340</v>
      </c>
      <c r="Z11" s="10" t="s">
        <v>349</v>
      </c>
      <c r="AA11" s="10" t="s">
        <v>350</v>
      </c>
      <c r="AB11" s="10" t="s">
        <v>351</v>
      </c>
      <c r="AC11" s="10" t="s">
        <v>352</v>
      </c>
      <c r="AD11" s="10" t="s">
        <v>353</v>
      </c>
      <c r="AE11" s="17" t="s">
        <v>348</v>
      </c>
      <c r="AF11" s="10" t="s">
        <v>356</v>
      </c>
      <c r="AG11" s="10" t="s">
        <v>354</v>
      </c>
      <c r="AH11" s="10" t="s">
        <v>227</v>
      </c>
      <c r="AI11" s="10" t="s">
        <v>228</v>
      </c>
      <c r="AJ11" s="10" t="s">
        <v>200</v>
      </c>
    </row>
    <row r="12" spans="1:45" x14ac:dyDescent="0.25">
      <c r="J12" s="2"/>
      <c r="W12" s="10" t="s">
        <v>1</v>
      </c>
      <c r="X12" s="10">
        <v>29</v>
      </c>
      <c r="Y12" s="10">
        <v>3</v>
      </c>
      <c r="Z12" s="17">
        <v>6</v>
      </c>
      <c r="AA12" s="17">
        <v>22</v>
      </c>
      <c r="AB12" s="17">
        <v>37</v>
      </c>
      <c r="AC12" s="10">
        <v>22</v>
      </c>
      <c r="AD12" s="10">
        <v>15</v>
      </c>
      <c r="AE12" s="17">
        <v>56</v>
      </c>
      <c r="AF12" s="10">
        <v>57</v>
      </c>
      <c r="AG12" s="10">
        <v>8</v>
      </c>
      <c r="AH12" s="10">
        <v>12</v>
      </c>
      <c r="AI12" s="10">
        <v>3</v>
      </c>
      <c r="AJ12" s="10">
        <v>64</v>
      </c>
      <c r="AL12" s="2"/>
    </row>
    <row r="13" spans="1:45" ht="30" x14ac:dyDescent="0.25">
      <c r="J13" s="2"/>
      <c r="W13" s="10" t="s">
        <v>12</v>
      </c>
      <c r="X13" s="10">
        <v>32</v>
      </c>
      <c r="Y13" s="10">
        <v>14</v>
      </c>
      <c r="Z13" s="17">
        <v>3</v>
      </c>
      <c r="AA13" s="10">
        <v>12</v>
      </c>
      <c r="AB13" s="17">
        <v>40</v>
      </c>
      <c r="AC13" s="10">
        <v>25</v>
      </c>
      <c r="AD13" s="10">
        <v>3</v>
      </c>
      <c r="AE13" s="17">
        <v>101</v>
      </c>
      <c r="AF13" s="10">
        <v>116</v>
      </c>
      <c r="AG13" s="10">
        <v>4</v>
      </c>
      <c r="AH13" s="10">
        <v>30</v>
      </c>
      <c r="AI13" s="10">
        <v>5</v>
      </c>
      <c r="AJ13" s="10">
        <v>92</v>
      </c>
      <c r="AL13" s="2"/>
    </row>
    <row r="14" spans="1:45" x14ac:dyDescent="0.25">
      <c r="J14" s="4"/>
      <c r="W14" s="17" t="s">
        <v>345</v>
      </c>
      <c r="X14" s="17">
        <f t="shared" ref="X14:AJ14" si="1">SUM(X12:X13)</f>
        <v>61</v>
      </c>
      <c r="Y14" s="17">
        <f t="shared" si="1"/>
        <v>17</v>
      </c>
      <c r="Z14" s="17">
        <f t="shared" si="1"/>
        <v>9</v>
      </c>
      <c r="AA14" s="17">
        <f t="shared" si="1"/>
        <v>34</v>
      </c>
      <c r="AB14" s="17">
        <f t="shared" si="1"/>
        <v>77</v>
      </c>
      <c r="AC14" s="17">
        <f t="shared" si="1"/>
        <v>47</v>
      </c>
      <c r="AD14" s="17">
        <f t="shared" si="1"/>
        <v>18</v>
      </c>
      <c r="AE14" s="17">
        <f t="shared" si="1"/>
        <v>157</v>
      </c>
      <c r="AF14" s="17">
        <f t="shared" si="1"/>
        <v>173</v>
      </c>
      <c r="AG14" s="17">
        <f t="shared" si="1"/>
        <v>12</v>
      </c>
      <c r="AH14" s="17">
        <f t="shared" si="1"/>
        <v>42</v>
      </c>
      <c r="AI14" s="17">
        <f t="shared" si="1"/>
        <v>8</v>
      </c>
      <c r="AJ14" s="17">
        <f t="shared" si="1"/>
        <v>156</v>
      </c>
      <c r="AK14">
        <v>811</v>
      </c>
    </row>
    <row r="16" spans="1:45" ht="60" x14ac:dyDescent="0.25">
      <c r="W16" s="17"/>
      <c r="X16" s="10" t="s">
        <v>355</v>
      </c>
      <c r="Y16" s="10" t="s">
        <v>340</v>
      </c>
      <c r="Z16" s="10" t="s">
        <v>349</v>
      </c>
      <c r="AA16" s="10" t="s">
        <v>350</v>
      </c>
      <c r="AB16" s="10" t="s">
        <v>357</v>
      </c>
      <c r="AC16" s="10" t="s">
        <v>352</v>
      </c>
      <c r="AD16" s="10" t="s">
        <v>358</v>
      </c>
      <c r="AE16" s="17" t="s">
        <v>348</v>
      </c>
      <c r="AF16" s="10" t="s">
        <v>356</v>
      </c>
      <c r="AG16" s="10" t="s">
        <v>354</v>
      </c>
      <c r="AH16" s="10" t="s">
        <v>227</v>
      </c>
      <c r="AI16" s="10" t="s">
        <v>228</v>
      </c>
      <c r="AJ16" s="10" t="s">
        <v>200</v>
      </c>
    </row>
    <row r="17" spans="23:37" x14ac:dyDescent="0.25">
      <c r="W17" s="10" t="s">
        <v>1</v>
      </c>
      <c r="X17" s="39">
        <f>X12/AK14</f>
        <v>3.5758323057953144E-2</v>
      </c>
      <c r="Y17" s="39">
        <f>Y12/AK14</f>
        <v>3.6991368680641184E-3</v>
      </c>
      <c r="Z17" s="40">
        <f>Z12/AK14</f>
        <v>7.3982737361282368E-3</v>
      </c>
      <c r="AA17" s="40">
        <f>AA12/AK14</f>
        <v>2.7127003699136867E-2</v>
      </c>
      <c r="AB17" s="40">
        <f>AB12/AK14</f>
        <v>4.562268803945746E-2</v>
      </c>
      <c r="AC17" s="39">
        <f>AC12/AK14</f>
        <v>2.7127003699136867E-2</v>
      </c>
      <c r="AD17" s="39">
        <f>AD12/AK14</f>
        <v>1.8495684340320593E-2</v>
      </c>
      <c r="AE17" s="40">
        <f>AE12/AK14</f>
        <v>6.9050554870530204E-2</v>
      </c>
      <c r="AF17" s="39">
        <f>AF12/AK14</f>
        <v>7.0283600493218246E-2</v>
      </c>
      <c r="AG17" s="39">
        <f>AG12/AK14</f>
        <v>9.8643649815043158E-3</v>
      </c>
      <c r="AH17" s="39">
        <f>AH12/AK14</f>
        <v>1.4796547472256474E-2</v>
      </c>
      <c r="AI17" s="39">
        <f>AI12/AK14</f>
        <v>3.6991368680641184E-3</v>
      </c>
      <c r="AJ17" s="39">
        <f>AJ12/AK14</f>
        <v>7.8914919852034526E-2</v>
      </c>
    </row>
    <row r="18" spans="23:37" ht="30" x14ac:dyDescent="0.25">
      <c r="W18" s="10" t="s">
        <v>12</v>
      </c>
      <c r="X18" s="39">
        <f>X13/AK14</f>
        <v>3.9457459926017263E-2</v>
      </c>
      <c r="Y18" s="39">
        <f>Y13/AK14</f>
        <v>1.7262638717632551E-2</v>
      </c>
      <c r="Z18" s="40">
        <f>Z13/AK14</f>
        <v>3.6991368680641184E-3</v>
      </c>
      <c r="AA18" s="39">
        <f>AA13/AK14</f>
        <v>1.4796547472256474E-2</v>
      </c>
      <c r="AB18" s="40">
        <f>AB13/AK14</f>
        <v>4.9321824907521579E-2</v>
      </c>
      <c r="AC18" s="39">
        <f>AC13/AK14</f>
        <v>3.0826140567200986E-2</v>
      </c>
      <c r="AD18" s="39">
        <f>AD13/AK14</f>
        <v>3.6991368680641184E-3</v>
      </c>
      <c r="AE18" s="40">
        <f>AE13/AK14</f>
        <v>0.12453760789149199</v>
      </c>
      <c r="AF18" s="39">
        <f>AF13/AK14</f>
        <v>0.14303329223181258</v>
      </c>
      <c r="AG18" s="39">
        <f>AG13/AK14</f>
        <v>4.9321824907521579E-3</v>
      </c>
      <c r="AH18" s="39">
        <f>AH13/AK14</f>
        <v>3.6991368680641186E-2</v>
      </c>
      <c r="AI18" s="39">
        <f>AI13/AK14</f>
        <v>6.1652281134401974E-3</v>
      </c>
      <c r="AJ18" s="39">
        <f>AJ13/AK14</f>
        <v>0.11344019728729964</v>
      </c>
    </row>
    <row r="19" spans="23:37" x14ac:dyDescent="0.25">
      <c r="W19" s="17" t="s">
        <v>345</v>
      </c>
      <c r="X19" s="40">
        <f t="shared" ref="X19:AJ19" si="2">SUM(X17:X18)</f>
        <v>7.5215782983970414E-2</v>
      </c>
      <c r="Y19" s="40">
        <f t="shared" si="2"/>
        <v>2.096177558569667E-2</v>
      </c>
      <c r="Z19" s="40">
        <f t="shared" si="2"/>
        <v>1.1097410604192354E-2</v>
      </c>
      <c r="AA19" s="40">
        <f t="shared" si="2"/>
        <v>4.192355117139334E-2</v>
      </c>
      <c r="AB19" s="40">
        <f t="shared" si="2"/>
        <v>9.4944512946979032E-2</v>
      </c>
      <c r="AC19" s="40">
        <f t="shared" si="2"/>
        <v>5.7953144266337853E-2</v>
      </c>
      <c r="AD19" s="40">
        <f t="shared" si="2"/>
        <v>2.2194821208384712E-2</v>
      </c>
      <c r="AE19" s="40">
        <f t="shared" si="2"/>
        <v>0.19358816276202218</v>
      </c>
      <c r="AF19" s="40">
        <f t="shared" si="2"/>
        <v>0.21331689272503082</v>
      </c>
      <c r="AG19" s="40">
        <f t="shared" si="2"/>
        <v>1.4796547472256474E-2</v>
      </c>
      <c r="AH19" s="40">
        <f t="shared" si="2"/>
        <v>5.1787916152897656E-2</v>
      </c>
      <c r="AI19" s="40">
        <f t="shared" si="2"/>
        <v>9.8643649815043158E-3</v>
      </c>
      <c r="AJ19" s="40">
        <f t="shared" si="2"/>
        <v>0.19235511713933418</v>
      </c>
    </row>
    <row r="20" spans="23:37" x14ac:dyDescent="0.25">
      <c r="AK20" s="41">
        <v>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C849-E75A-4655-AB47-09FDEEA6A8DF}">
  <dimension ref="A1:H11"/>
  <sheetViews>
    <sheetView workbookViewId="0">
      <selection activeCell="I28" sqref="A1:I28"/>
    </sheetView>
  </sheetViews>
  <sheetFormatPr baseColWidth="10" defaultRowHeight="15" x14ac:dyDescent="0.25"/>
  <cols>
    <col min="2" max="2" width="23.28515625" customWidth="1"/>
    <col min="3" max="3" width="23" customWidth="1"/>
    <col min="4" max="5" width="22.5703125" customWidth="1"/>
  </cols>
  <sheetData>
    <row r="1" spans="1:8" x14ac:dyDescent="0.25">
      <c r="A1" t="s">
        <v>359</v>
      </c>
    </row>
    <row r="2" spans="1:8" x14ac:dyDescent="0.25">
      <c r="A2" s="1"/>
      <c r="F2" s="1"/>
    </row>
    <row r="3" spans="1:8" ht="60" x14ac:dyDescent="0.25">
      <c r="A3" s="8"/>
      <c r="B3" s="8" t="s">
        <v>361</v>
      </c>
      <c r="C3" s="8" t="s">
        <v>360</v>
      </c>
      <c r="D3" s="8" t="s">
        <v>242</v>
      </c>
      <c r="E3" s="8" t="s">
        <v>243</v>
      </c>
      <c r="F3" s="8" t="s">
        <v>19</v>
      </c>
      <c r="G3" s="8" t="s">
        <v>66</v>
      </c>
      <c r="H3" s="10"/>
    </row>
    <row r="4" spans="1:8" x14ac:dyDescent="0.25">
      <c r="A4" s="8" t="s">
        <v>1</v>
      </c>
      <c r="B4" s="10">
        <v>19</v>
      </c>
      <c r="C4" s="10">
        <v>70</v>
      </c>
      <c r="D4" s="10">
        <v>71</v>
      </c>
      <c r="E4" s="10">
        <v>3</v>
      </c>
      <c r="F4" s="10">
        <v>163</v>
      </c>
      <c r="G4" s="10">
        <v>171</v>
      </c>
      <c r="H4" s="10">
        <v>334</v>
      </c>
    </row>
    <row r="5" spans="1:8" ht="15" customHeight="1" x14ac:dyDescent="0.25">
      <c r="A5" s="8" t="s">
        <v>12</v>
      </c>
      <c r="B5" s="10">
        <v>21</v>
      </c>
      <c r="C5" s="10">
        <v>76</v>
      </c>
      <c r="D5" s="10">
        <v>99</v>
      </c>
      <c r="E5" s="10">
        <v>4</v>
      </c>
      <c r="F5" s="10">
        <v>200</v>
      </c>
      <c r="G5" s="10">
        <v>277</v>
      </c>
      <c r="H5" s="10">
        <v>477</v>
      </c>
    </row>
    <row r="6" spans="1:8" x14ac:dyDescent="0.25">
      <c r="A6" s="42"/>
      <c r="B6" s="42">
        <f t="shared" ref="B6:H6" si="0">SUM(B4:B5)</f>
        <v>40</v>
      </c>
      <c r="C6" s="42">
        <f t="shared" si="0"/>
        <v>146</v>
      </c>
      <c r="D6" s="42">
        <f t="shared" si="0"/>
        <v>170</v>
      </c>
      <c r="E6" s="42">
        <f t="shared" si="0"/>
        <v>7</v>
      </c>
      <c r="F6" s="42">
        <f t="shared" si="0"/>
        <v>363</v>
      </c>
      <c r="G6" s="42">
        <f t="shared" si="0"/>
        <v>448</v>
      </c>
      <c r="H6" s="42">
        <f t="shared" si="0"/>
        <v>811</v>
      </c>
    </row>
    <row r="8" spans="1:8" ht="60" x14ac:dyDescent="0.25">
      <c r="A8" s="8"/>
      <c r="B8" s="8" t="s">
        <v>361</v>
      </c>
      <c r="C8" s="8" t="s">
        <v>360</v>
      </c>
      <c r="D8" s="8" t="s">
        <v>242</v>
      </c>
      <c r="E8" s="8" t="s">
        <v>243</v>
      </c>
      <c r="F8" s="8" t="s">
        <v>19</v>
      </c>
      <c r="G8" s="8" t="s">
        <v>66</v>
      </c>
    </row>
    <row r="9" spans="1:8" x14ac:dyDescent="0.25">
      <c r="A9" s="8" t="s">
        <v>1</v>
      </c>
      <c r="B9" s="39">
        <f>B4/H6</f>
        <v>2.3427866831072751E-2</v>
      </c>
      <c r="C9" s="39">
        <f>C4/H6</f>
        <v>8.6313193588162765E-2</v>
      </c>
      <c r="D9" s="39">
        <f>D4/H6</f>
        <v>8.7546239210850807E-2</v>
      </c>
      <c r="E9" s="39">
        <f>E4/H6</f>
        <v>3.6991368680641184E-3</v>
      </c>
      <c r="F9" s="44">
        <f>F4/H6</f>
        <v>0.20098643649815043</v>
      </c>
      <c r="G9" s="39">
        <f>G4/H6</f>
        <v>0.21085080147965474</v>
      </c>
    </row>
    <row r="10" spans="1:8" ht="30" x14ac:dyDescent="0.25">
      <c r="A10" s="8" t="s">
        <v>12</v>
      </c>
      <c r="B10" s="39">
        <f>B5/H6</f>
        <v>2.5893958076448828E-2</v>
      </c>
      <c r="C10" s="39">
        <f>C5/H6</f>
        <v>9.3711467324291003E-2</v>
      </c>
      <c r="D10" s="39">
        <f>D5/H6</f>
        <v>0.1220715166461159</v>
      </c>
      <c r="E10" s="39">
        <f>E5/H6</f>
        <v>4.9321824907521579E-3</v>
      </c>
      <c r="F10" s="44">
        <f>F5/H6</f>
        <v>0.24660912453760789</v>
      </c>
      <c r="G10" s="39">
        <f>G5/H6</f>
        <v>0.34155363748458695</v>
      </c>
    </row>
    <row r="11" spans="1:8" x14ac:dyDescent="0.25">
      <c r="A11" s="42"/>
      <c r="B11" s="43">
        <f t="shared" ref="B11:G11" si="1">SUM(B9:B10)</f>
        <v>4.9321824907521579E-2</v>
      </c>
      <c r="C11" s="43">
        <f t="shared" si="1"/>
        <v>0.18002466091245378</v>
      </c>
      <c r="D11" s="43">
        <f t="shared" si="1"/>
        <v>0.20961775585696671</v>
      </c>
      <c r="E11" s="43">
        <f t="shared" si="1"/>
        <v>8.6313193588162772E-3</v>
      </c>
      <c r="F11" s="44">
        <f t="shared" si="1"/>
        <v>0.44759556103575832</v>
      </c>
      <c r="G11" s="43">
        <f t="shared" si="1"/>
        <v>0.55240443896424174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0D0F-D248-4CB3-BAD1-92D7F941CDEB}">
  <dimension ref="A1:J12"/>
  <sheetViews>
    <sheetView workbookViewId="0">
      <selection sqref="A1:Q42"/>
    </sheetView>
  </sheetViews>
  <sheetFormatPr baseColWidth="10" defaultRowHeight="15" x14ac:dyDescent="0.25"/>
  <sheetData>
    <row r="1" spans="1:10" x14ac:dyDescent="0.25">
      <c r="A1" s="4" t="s">
        <v>362</v>
      </c>
    </row>
    <row r="2" spans="1:10" x14ac:dyDescent="0.25">
      <c r="A2" s="1"/>
      <c r="B2" s="1"/>
    </row>
    <row r="3" spans="1:10" ht="60" x14ac:dyDescent="0.25">
      <c r="A3" s="10"/>
      <c r="B3" s="10" t="s">
        <v>248</v>
      </c>
      <c r="C3" s="10" t="s">
        <v>249</v>
      </c>
      <c r="D3" s="10" t="s">
        <v>250</v>
      </c>
      <c r="E3" s="10" t="s">
        <v>363</v>
      </c>
      <c r="F3" s="10" t="s">
        <v>364</v>
      </c>
      <c r="G3" s="10" t="s">
        <v>251</v>
      </c>
      <c r="H3" s="10" t="s">
        <v>252</v>
      </c>
      <c r="I3" s="10" t="s">
        <v>365</v>
      </c>
      <c r="J3" s="10" t="s">
        <v>19</v>
      </c>
    </row>
    <row r="4" spans="1:10" x14ac:dyDescent="0.25">
      <c r="A4" s="10" t="s">
        <v>1</v>
      </c>
      <c r="B4" s="10">
        <v>48</v>
      </c>
      <c r="C4" s="10">
        <v>50</v>
      </c>
      <c r="D4" s="10">
        <v>13</v>
      </c>
      <c r="E4" s="10">
        <v>73</v>
      </c>
      <c r="F4" s="10">
        <v>61</v>
      </c>
      <c r="G4" s="10">
        <v>88</v>
      </c>
      <c r="H4" s="10">
        <v>0</v>
      </c>
      <c r="I4" s="10">
        <v>1</v>
      </c>
      <c r="J4" s="10">
        <v>334</v>
      </c>
    </row>
    <row r="5" spans="1:10" ht="15" customHeight="1" x14ac:dyDescent="0.25">
      <c r="A5" s="10" t="s">
        <v>12</v>
      </c>
      <c r="B5" s="10">
        <v>57</v>
      </c>
      <c r="C5" s="10">
        <v>87</v>
      </c>
      <c r="D5" s="10">
        <v>17</v>
      </c>
      <c r="E5" s="10">
        <v>96</v>
      </c>
      <c r="F5" s="10">
        <v>62</v>
      </c>
      <c r="G5" s="10">
        <v>122</v>
      </c>
      <c r="H5" s="10">
        <v>22</v>
      </c>
      <c r="I5" s="10">
        <v>14</v>
      </c>
      <c r="J5" s="10">
        <v>477</v>
      </c>
    </row>
    <row r="6" spans="1:10" x14ac:dyDescent="0.25">
      <c r="A6" s="17"/>
      <c r="B6" s="17">
        <f t="shared" ref="B6:J6" si="0">SUM(B4:B5)</f>
        <v>105</v>
      </c>
      <c r="C6" s="17">
        <f t="shared" si="0"/>
        <v>137</v>
      </c>
      <c r="D6" s="17">
        <f t="shared" si="0"/>
        <v>30</v>
      </c>
      <c r="E6" s="17">
        <f t="shared" si="0"/>
        <v>169</v>
      </c>
      <c r="F6" s="17">
        <f t="shared" si="0"/>
        <v>123</v>
      </c>
      <c r="G6" s="17">
        <f t="shared" si="0"/>
        <v>210</v>
      </c>
      <c r="H6" s="17">
        <f t="shared" si="0"/>
        <v>22</v>
      </c>
      <c r="I6" s="17">
        <f t="shared" si="0"/>
        <v>15</v>
      </c>
      <c r="J6" s="17">
        <f t="shared" si="0"/>
        <v>811</v>
      </c>
    </row>
    <row r="9" spans="1:10" ht="60" x14ac:dyDescent="0.25">
      <c r="A9" s="10"/>
      <c r="B9" s="10" t="s">
        <v>248</v>
      </c>
      <c r="C9" s="10" t="s">
        <v>249</v>
      </c>
      <c r="D9" s="10" t="s">
        <v>250</v>
      </c>
      <c r="E9" s="10" t="s">
        <v>363</v>
      </c>
      <c r="F9" s="10" t="s">
        <v>364</v>
      </c>
      <c r="G9" s="10" t="s">
        <v>251</v>
      </c>
      <c r="H9" s="10" t="s">
        <v>252</v>
      </c>
      <c r="I9" s="10" t="s">
        <v>365</v>
      </c>
      <c r="J9" s="10" t="s">
        <v>19</v>
      </c>
    </row>
    <row r="10" spans="1:10" x14ac:dyDescent="0.25">
      <c r="A10" s="10" t="s">
        <v>1</v>
      </c>
      <c r="B10" s="39">
        <f>B4/J6</f>
        <v>5.9186189889025895E-2</v>
      </c>
      <c r="C10" s="39">
        <f>C4/J6</f>
        <v>6.1652281134401972E-2</v>
      </c>
      <c r="D10" s="39">
        <f>D4/J6</f>
        <v>1.6029593094944512E-2</v>
      </c>
      <c r="E10" s="39">
        <f>E4/J6</f>
        <v>9.0012330456226877E-2</v>
      </c>
      <c r="F10" s="39">
        <f>F4/J6</f>
        <v>7.52157829839704E-2</v>
      </c>
      <c r="G10" s="39">
        <f>G4/J6</f>
        <v>0.10850801479654747</v>
      </c>
      <c r="H10" s="39">
        <f>H4/J6</f>
        <v>0</v>
      </c>
      <c r="I10" s="39">
        <f>I4/J6</f>
        <v>1.2330456226880395E-3</v>
      </c>
      <c r="J10" s="39">
        <f>SUM(B10:I10)</f>
        <v>0.41183723797780519</v>
      </c>
    </row>
    <row r="11" spans="1:10" ht="30" x14ac:dyDescent="0.25">
      <c r="A11" s="10" t="s">
        <v>12</v>
      </c>
      <c r="B11" s="39">
        <f>B5/J6</f>
        <v>7.0283600493218246E-2</v>
      </c>
      <c r="C11" s="39">
        <f>C5/J6</f>
        <v>0.10727496917385944</v>
      </c>
      <c r="D11" s="39">
        <f>D5/J6</f>
        <v>2.096177558569667E-2</v>
      </c>
      <c r="E11" s="39">
        <f>E5/J6</f>
        <v>0.11837237977805179</v>
      </c>
      <c r="F11" s="39">
        <f>F5/J6</f>
        <v>7.6448828606658442E-2</v>
      </c>
      <c r="G11" s="39">
        <f>G5/J6</f>
        <v>0.1504315659679408</v>
      </c>
      <c r="H11" s="39">
        <f>H5/J6</f>
        <v>2.7127003699136867E-2</v>
      </c>
      <c r="I11" s="39">
        <f>I5/J6</f>
        <v>1.7262638717632551E-2</v>
      </c>
      <c r="J11" s="39">
        <f>SUM(B11:I11)</f>
        <v>0.58816276202219486</v>
      </c>
    </row>
    <row r="12" spans="1:10" x14ac:dyDescent="0.25">
      <c r="A12" s="17"/>
      <c r="B12" s="40">
        <f t="shared" ref="B12:J12" si="1">SUM(B10:B11)</f>
        <v>0.12946979038224415</v>
      </c>
      <c r="C12" s="40">
        <f t="shared" si="1"/>
        <v>0.16892725030826142</v>
      </c>
      <c r="D12" s="40">
        <f t="shared" si="1"/>
        <v>3.6991368680641179E-2</v>
      </c>
      <c r="E12" s="40">
        <f t="shared" si="1"/>
        <v>0.20838471023427868</v>
      </c>
      <c r="F12" s="40">
        <f t="shared" si="1"/>
        <v>0.15166461159062883</v>
      </c>
      <c r="G12" s="40">
        <f t="shared" si="1"/>
        <v>0.25893958076448825</v>
      </c>
      <c r="H12" s="40">
        <f t="shared" si="1"/>
        <v>2.7127003699136867E-2</v>
      </c>
      <c r="I12" s="40">
        <f t="shared" si="1"/>
        <v>1.849568434032059E-2</v>
      </c>
      <c r="J12" s="40">
        <f t="shared" si="1"/>
        <v>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CC88-216C-4997-ABFD-4C25ED3142D7}">
  <dimension ref="A1:X11"/>
  <sheetViews>
    <sheetView topLeftCell="C1" workbookViewId="0">
      <selection sqref="A1:Z13"/>
    </sheetView>
  </sheetViews>
  <sheetFormatPr baseColWidth="10" defaultRowHeight="15" x14ac:dyDescent="0.25"/>
  <sheetData>
    <row r="1" spans="1:24" x14ac:dyDescent="0.25">
      <c r="A1" s="3" t="s">
        <v>254</v>
      </c>
    </row>
    <row r="2" spans="1:24" x14ac:dyDescent="0.25">
      <c r="A2" s="1"/>
      <c r="B2" s="1"/>
      <c r="C2" s="1"/>
      <c r="D2" s="1" t="s">
        <v>19</v>
      </c>
    </row>
    <row r="3" spans="1:24" ht="105" x14ac:dyDescent="0.25">
      <c r="A3" s="1"/>
      <c r="B3" s="1"/>
      <c r="C3" s="1"/>
      <c r="D3" s="1" t="s">
        <v>66</v>
      </c>
      <c r="E3" s="1" t="s">
        <v>255</v>
      </c>
      <c r="F3" s="1" t="s">
        <v>256</v>
      </c>
      <c r="G3" s="1" t="s">
        <v>257</v>
      </c>
      <c r="H3" s="1" t="s">
        <v>258</v>
      </c>
      <c r="I3" s="1" t="s">
        <v>259</v>
      </c>
      <c r="J3" s="1" t="s">
        <v>260</v>
      </c>
      <c r="K3" s="1" t="s">
        <v>261</v>
      </c>
      <c r="L3" s="1" t="s">
        <v>262</v>
      </c>
      <c r="M3" s="1" t="s">
        <v>263</v>
      </c>
      <c r="N3" s="1" t="s">
        <v>264</v>
      </c>
      <c r="O3" s="1" t="s">
        <v>265</v>
      </c>
      <c r="P3" s="1" t="s">
        <v>266</v>
      </c>
      <c r="Q3" s="1" t="s">
        <v>267</v>
      </c>
      <c r="R3" s="1" t="s">
        <v>268</v>
      </c>
      <c r="S3" s="1" t="s">
        <v>269</v>
      </c>
      <c r="T3" s="1" t="s">
        <v>270</v>
      </c>
      <c r="U3" s="1" t="s">
        <v>271</v>
      </c>
      <c r="V3" s="1" t="s">
        <v>272</v>
      </c>
      <c r="W3" s="1" t="s">
        <v>273</v>
      </c>
      <c r="X3" s="2"/>
    </row>
    <row r="4" spans="1:24" x14ac:dyDescent="0.25">
      <c r="A4" s="53" t="s">
        <v>0</v>
      </c>
      <c r="B4" s="53" t="s">
        <v>1</v>
      </c>
      <c r="C4" s="1" t="s">
        <v>2</v>
      </c>
      <c r="D4" s="2">
        <v>75</v>
      </c>
      <c r="E4" s="2">
        <v>29</v>
      </c>
      <c r="F4" s="2">
        <v>4</v>
      </c>
      <c r="G4" s="2">
        <v>68</v>
      </c>
      <c r="H4" s="2">
        <v>16</v>
      </c>
      <c r="I4" s="2">
        <v>15</v>
      </c>
      <c r="J4" s="2">
        <v>33</v>
      </c>
      <c r="K4" s="2">
        <v>15</v>
      </c>
      <c r="L4" s="2">
        <v>9</v>
      </c>
      <c r="M4" s="2">
        <v>16</v>
      </c>
      <c r="N4" s="2">
        <v>27</v>
      </c>
      <c r="O4" s="2">
        <v>3</v>
      </c>
      <c r="P4" s="2">
        <v>4</v>
      </c>
      <c r="Q4" s="2">
        <v>2</v>
      </c>
      <c r="R4" s="2">
        <v>2</v>
      </c>
      <c r="S4" s="2">
        <v>0</v>
      </c>
      <c r="T4" s="2">
        <v>3</v>
      </c>
      <c r="U4" s="2">
        <v>7</v>
      </c>
      <c r="V4" s="2">
        <v>6</v>
      </c>
      <c r="W4" s="2">
        <v>0</v>
      </c>
      <c r="X4" s="2">
        <v>334</v>
      </c>
    </row>
    <row r="5" spans="1:24" x14ac:dyDescent="0.25">
      <c r="A5" s="53"/>
      <c r="B5" s="53"/>
      <c r="C5" s="1" t="s">
        <v>3</v>
      </c>
      <c r="D5" s="2" t="s">
        <v>11</v>
      </c>
      <c r="E5" s="2" t="s">
        <v>274</v>
      </c>
      <c r="F5" s="2" t="s">
        <v>25</v>
      </c>
      <c r="G5" s="2" t="s">
        <v>275</v>
      </c>
      <c r="H5" s="2" t="s">
        <v>28</v>
      </c>
      <c r="I5" s="2" t="s">
        <v>24</v>
      </c>
      <c r="J5" s="2" t="s">
        <v>276</v>
      </c>
      <c r="K5" s="2" t="s">
        <v>24</v>
      </c>
      <c r="L5" s="2" t="s">
        <v>20</v>
      </c>
      <c r="M5" s="2" t="s">
        <v>28</v>
      </c>
      <c r="N5" s="2" t="s">
        <v>21</v>
      </c>
      <c r="O5" s="2" t="s">
        <v>23</v>
      </c>
      <c r="P5" s="2" t="s">
        <v>25</v>
      </c>
      <c r="Q5" s="2" t="s">
        <v>61</v>
      </c>
      <c r="R5" s="2" t="s">
        <v>61</v>
      </c>
      <c r="S5" s="2" t="s">
        <v>26</v>
      </c>
      <c r="T5" s="2" t="s">
        <v>23</v>
      </c>
      <c r="U5" s="2" t="s">
        <v>22</v>
      </c>
      <c r="V5" s="2" t="s">
        <v>36</v>
      </c>
      <c r="W5" s="2" t="s">
        <v>26</v>
      </c>
      <c r="X5" s="2" t="s">
        <v>5</v>
      </c>
    </row>
    <row r="6" spans="1:24" ht="30" x14ac:dyDescent="0.25">
      <c r="A6" s="53"/>
      <c r="B6" s="53"/>
      <c r="C6" s="1" t="s">
        <v>6</v>
      </c>
      <c r="D6" s="2" t="s">
        <v>277</v>
      </c>
      <c r="E6" s="2" t="s">
        <v>278</v>
      </c>
      <c r="F6" s="2" t="s">
        <v>32</v>
      </c>
      <c r="G6" s="2" t="s">
        <v>279</v>
      </c>
      <c r="H6" s="2" t="s">
        <v>280</v>
      </c>
      <c r="I6" s="2" t="s">
        <v>281</v>
      </c>
      <c r="J6" s="2" t="s">
        <v>282</v>
      </c>
      <c r="K6" s="2" t="s">
        <v>283</v>
      </c>
      <c r="L6" s="2" t="s">
        <v>31</v>
      </c>
      <c r="M6" s="2" t="s">
        <v>284</v>
      </c>
      <c r="N6" s="2" t="s">
        <v>62</v>
      </c>
      <c r="O6" s="2" t="s">
        <v>235</v>
      </c>
      <c r="P6" s="2" t="s">
        <v>241</v>
      </c>
      <c r="Q6" s="2" t="s">
        <v>50</v>
      </c>
      <c r="R6" s="2" t="s">
        <v>51</v>
      </c>
      <c r="S6" s="2" t="s">
        <v>26</v>
      </c>
      <c r="T6" s="2" t="s">
        <v>246</v>
      </c>
      <c r="U6" s="2" t="s">
        <v>30</v>
      </c>
      <c r="V6" s="2" t="s">
        <v>285</v>
      </c>
      <c r="W6" s="2" t="s">
        <v>26</v>
      </c>
      <c r="X6" s="2" t="s">
        <v>8</v>
      </c>
    </row>
    <row r="7" spans="1:24" x14ac:dyDescent="0.25">
      <c r="A7" s="53"/>
      <c r="B7" s="53"/>
      <c r="C7" s="1" t="s">
        <v>9</v>
      </c>
      <c r="D7" s="2" t="s">
        <v>286</v>
      </c>
      <c r="E7" s="2" t="s">
        <v>4</v>
      </c>
      <c r="F7" s="2" t="s">
        <v>39</v>
      </c>
      <c r="G7" s="2" t="s">
        <v>287</v>
      </c>
      <c r="H7" s="2" t="s">
        <v>41</v>
      </c>
      <c r="I7" s="2" t="s">
        <v>38</v>
      </c>
      <c r="J7" s="2" t="s">
        <v>239</v>
      </c>
      <c r="K7" s="2" t="s">
        <v>38</v>
      </c>
      <c r="L7" s="2" t="s">
        <v>23</v>
      </c>
      <c r="M7" s="2" t="s">
        <v>41</v>
      </c>
      <c r="N7" s="2" t="s">
        <v>35</v>
      </c>
      <c r="O7" s="2" t="s">
        <v>27</v>
      </c>
      <c r="P7" s="2" t="s">
        <v>39</v>
      </c>
      <c r="Q7" s="2" t="s">
        <v>45</v>
      </c>
      <c r="R7" s="2" t="s">
        <v>45</v>
      </c>
      <c r="S7" s="2" t="s">
        <v>26</v>
      </c>
      <c r="T7" s="2" t="s">
        <v>27</v>
      </c>
      <c r="U7" s="2" t="s">
        <v>37</v>
      </c>
      <c r="V7" s="2" t="s">
        <v>61</v>
      </c>
      <c r="W7" s="2" t="s">
        <v>26</v>
      </c>
      <c r="X7" s="2" t="s">
        <v>8</v>
      </c>
    </row>
    <row r="8" spans="1:24" x14ac:dyDescent="0.25">
      <c r="A8" s="53"/>
      <c r="B8" s="53" t="s">
        <v>12</v>
      </c>
      <c r="C8" s="1" t="s">
        <v>2</v>
      </c>
      <c r="D8" s="2">
        <v>116</v>
      </c>
      <c r="E8" s="2">
        <v>60</v>
      </c>
      <c r="F8" s="2">
        <v>4</v>
      </c>
      <c r="G8" s="2">
        <v>77</v>
      </c>
      <c r="H8" s="2">
        <v>8</v>
      </c>
      <c r="I8" s="2">
        <v>9</v>
      </c>
      <c r="J8" s="2">
        <v>45</v>
      </c>
      <c r="K8" s="2">
        <v>22</v>
      </c>
      <c r="L8" s="2">
        <v>9</v>
      </c>
      <c r="M8" s="2">
        <v>19</v>
      </c>
      <c r="N8" s="2">
        <v>42</v>
      </c>
      <c r="O8" s="2">
        <v>6</v>
      </c>
      <c r="P8" s="2">
        <v>3</v>
      </c>
      <c r="Q8" s="2">
        <v>4</v>
      </c>
      <c r="R8" s="2">
        <v>14</v>
      </c>
      <c r="S8" s="2">
        <v>2</v>
      </c>
      <c r="T8" s="2">
        <v>11</v>
      </c>
      <c r="U8" s="2">
        <v>13</v>
      </c>
      <c r="V8" s="2">
        <v>13</v>
      </c>
      <c r="W8" s="2">
        <v>0</v>
      </c>
      <c r="X8" s="2">
        <v>477</v>
      </c>
    </row>
    <row r="9" spans="1:24" x14ac:dyDescent="0.25">
      <c r="A9" s="53"/>
      <c r="B9" s="53"/>
      <c r="C9" s="1" t="s">
        <v>3</v>
      </c>
      <c r="D9" s="2" t="s">
        <v>14</v>
      </c>
      <c r="E9" s="2" t="s">
        <v>69</v>
      </c>
      <c r="F9" s="2" t="s">
        <v>34</v>
      </c>
      <c r="G9" s="2" t="s">
        <v>288</v>
      </c>
      <c r="H9" s="2" t="s">
        <v>46</v>
      </c>
      <c r="I9" s="2" t="s">
        <v>47</v>
      </c>
      <c r="J9" s="2" t="s">
        <v>172</v>
      </c>
      <c r="K9" s="2" t="s">
        <v>43</v>
      </c>
      <c r="L9" s="2" t="s">
        <v>47</v>
      </c>
      <c r="M9" s="2" t="s">
        <v>240</v>
      </c>
      <c r="N9" s="2" t="s">
        <v>143</v>
      </c>
      <c r="O9" s="2" t="s">
        <v>85</v>
      </c>
      <c r="P9" s="2" t="s">
        <v>61</v>
      </c>
      <c r="Q9" s="2" t="s">
        <v>34</v>
      </c>
      <c r="R9" s="2" t="s">
        <v>13</v>
      </c>
      <c r="S9" s="2" t="s">
        <v>39</v>
      </c>
      <c r="T9" s="2" t="s">
        <v>44</v>
      </c>
      <c r="U9" s="2" t="s">
        <v>20</v>
      </c>
      <c r="V9" s="2" t="s">
        <v>20</v>
      </c>
      <c r="W9" s="2" t="s">
        <v>26</v>
      </c>
      <c r="X9" s="2" t="s">
        <v>5</v>
      </c>
    </row>
    <row r="10" spans="1:24" ht="30" x14ac:dyDescent="0.25">
      <c r="A10" s="53"/>
      <c r="B10" s="53"/>
      <c r="C10" s="1" t="s">
        <v>6</v>
      </c>
      <c r="D10" s="2" t="s">
        <v>237</v>
      </c>
      <c r="E10" s="2" t="s">
        <v>289</v>
      </c>
      <c r="F10" s="2" t="s">
        <v>32</v>
      </c>
      <c r="G10" s="2" t="s">
        <v>107</v>
      </c>
      <c r="H10" s="2" t="s">
        <v>290</v>
      </c>
      <c r="I10" s="2" t="s">
        <v>291</v>
      </c>
      <c r="J10" s="2" t="s">
        <v>292</v>
      </c>
      <c r="K10" s="2" t="s">
        <v>244</v>
      </c>
      <c r="L10" s="2" t="s">
        <v>31</v>
      </c>
      <c r="M10" s="2" t="s">
        <v>113</v>
      </c>
      <c r="N10" s="2" t="s">
        <v>293</v>
      </c>
      <c r="O10" s="2" t="s">
        <v>30</v>
      </c>
      <c r="P10" s="2" t="s">
        <v>294</v>
      </c>
      <c r="Q10" s="2" t="s">
        <v>32</v>
      </c>
      <c r="R10" s="2" t="s">
        <v>253</v>
      </c>
      <c r="S10" s="2" t="s">
        <v>5</v>
      </c>
      <c r="T10" s="2" t="s">
        <v>295</v>
      </c>
      <c r="U10" s="2" t="s">
        <v>296</v>
      </c>
      <c r="V10" s="2" t="s">
        <v>297</v>
      </c>
      <c r="W10" s="2" t="s">
        <v>26</v>
      </c>
      <c r="X10" s="2" t="s">
        <v>16</v>
      </c>
    </row>
    <row r="11" spans="1:24" x14ac:dyDescent="0.25">
      <c r="A11" s="53"/>
      <c r="B11" s="53"/>
      <c r="C11" s="1" t="s">
        <v>9</v>
      </c>
      <c r="D11" s="2" t="s">
        <v>18</v>
      </c>
      <c r="E11" s="2" t="s">
        <v>298</v>
      </c>
      <c r="F11" s="2" t="s">
        <v>39</v>
      </c>
      <c r="G11" s="2" t="s">
        <v>299</v>
      </c>
      <c r="H11" s="2" t="s">
        <v>34</v>
      </c>
      <c r="I11" s="2" t="s">
        <v>23</v>
      </c>
      <c r="J11" s="2" t="s">
        <v>43</v>
      </c>
      <c r="K11" s="2" t="s">
        <v>44</v>
      </c>
      <c r="L11" s="2" t="s">
        <v>23</v>
      </c>
      <c r="M11" s="2" t="s">
        <v>47</v>
      </c>
      <c r="N11" s="2" t="s">
        <v>73</v>
      </c>
      <c r="O11" s="2" t="s">
        <v>61</v>
      </c>
      <c r="P11" s="2" t="s">
        <v>27</v>
      </c>
      <c r="Q11" s="2" t="s">
        <v>39</v>
      </c>
      <c r="R11" s="2" t="s">
        <v>17</v>
      </c>
      <c r="S11" s="2" t="s">
        <v>45</v>
      </c>
      <c r="T11" s="2" t="s">
        <v>54</v>
      </c>
      <c r="U11" s="2" t="s">
        <v>85</v>
      </c>
      <c r="V11" s="2" t="s">
        <v>85</v>
      </c>
      <c r="W11" s="2" t="s">
        <v>26</v>
      </c>
      <c r="X11" s="2" t="s">
        <v>16</v>
      </c>
    </row>
  </sheetData>
  <mergeCells count="3">
    <mergeCell ref="A4:A11"/>
    <mergeCell ref="B4:B7"/>
    <mergeCell ref="B8:B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232A-2760-4728-A08F-8D9AA881B54C}">
  <dimension ref="A1:L11"/>
  <sheetViews>
    <sheetView workbookViewId="0">
      <selection activeCell="M12" sqref="A1:M12"/>
    </sheetView>
  </sheetViews>
  <sheetFormatPr baseColWidth="10" defaultRowHeight="15" x14ac:dyDescent="0.25"/>
  <sheetData>
    <row r="1" spans="1:12" x14ac:dyDescent="0.25">
      <c r="A1" s="3" t="s">
        <v>300</v>
      </c>
    </row>
    <row r="2" spans="1:12" x14ac:dyDescent="0.25">
      <c r="A2" s="1"/>
      <c r="B2" s="1"/>
      <c r="C2" s="1"/>
      <c r="D2" s="1" t="s">
        <v>19</v>
      </c>
    </row>
    <row r="3" spans="1:12" ht="60" x14ac:dyDescent="0.25">
      <c r="A3" s="1"/>
      <c r="B3" s="1"/>
      <c r="C3" s="1"/>
      <c r="D3" s="1" t="s">
        <v>301</v>
      </c>
      <c r="E3" s="1" t="s">
        <v>302</v>
      </c>
      <c r="F3" s="1" t="s">
        <v>303</v>
      </c>
      <c r="G3" s="1" t="s">
        <v>304</v>
      </c>
      <c r="H3" s="1" t="s">
        <v>305</v>
      </c>
      <c r="I3" s="1" t="s">
        <v>306</v>
      </c>
      <c r="J3" s="1" t="s">
        <v>307</v>
      </c>
      <c r="K3" s="1" t="s">
        <v>308</v>
      </c>
      <c r="L3" s="2"/>
    </row>
    <row r="4" spans="1:12" x14ac:dyDescent="0.25">
      <c r="A4" s="53" t="s">
        <v>0</v>
      </c>
      <c r="B4" s="53" t="s">
        <v>1</v>
      </c>
      <c r="C4" s="1" t="s">
        <v>2</v>
      </c>
      <c r="D4" s="2">
        <v>10</v>
      </c>
      <c r="E4" s="2">
        <v>22</v>
      </c>
      <c r="F4" s="2">
        <v>7</v>
      </c>
      <c r="G4" s="2">
        <v>279</v>
      </c>
      <c r="H4" s="2">
        <v>14</v>
      </c>
      <c r="I4" s="2">
        <v>0</v>
      </c>
      <c r="J4" s="2">
        <v>0</v>
      </c>
      <c r="K4" s="2">
        <v>2</v>
      </c>
      <c r="L4" s="2">
        <v>334</v>
      </c>
    </row>
    <row r="5" spans="1:12" x14ac:dyDescent="0.25">
      <c r="A5" s="53"/>
      <c r="B5" s="53"/>
      <c r="C5" s="1" t="s">
        <v>3</v>
      </c>
      <c r="D5" s="2" t="s">
        <v>4</v>
      </c>
      <c r="E5" s="2" t="s">
        <v>153</v>
      </c>
      <c r="F5" s="2" t="s">
        <v>22</v>
      </c>
      <c r="G5" s="2" t="s">
        <v>309</v>
      </c>
      <c r="H5" s="2" t="s">
        <v>234</v>
      </c>
      <c r="I5" s="2" t="s">
        <v>26</v>
      </c>
      <c r="J5" s="2" t="s">
        <v>26</v>
      </c>
      <c r="K5" s="2" t="s">
        <v>61</v>
      </c>
      <c r="L5" s="2" t="s">
        <v>5</v>
      </c>
    </row>
    <row r="6" spans="1:12" ht="30" x14ac:dyDescent="0.25">
      <c r="A6" s="53"/>
      <c r="B6" s="53"/>
      <c r="C6" s="1" t="s">
        <v>6</v>
      </c>
      <c r="D6" s="2" t="s">
        <v>152</v>
      </c>
      <c r="E6" s="2" t="s">
        <v>310</v>
      </c>
      <c r="F6" s="2" t="s">
        <v>245</v>
      </c>
      <c r="G6" s="2" t="s">
        <v>311</v>
      </c>
      <c r="H6" s="2" t="s">
        <v>15</v>
      </c>
      <c r="I6" s="2" t="s">
        <v>26</v>
      </c>
      <c r="J6" s="2" t="s">
        <v>26</v>
      </c>
      <c r="K6" s="2" t="s">
        <v>312</v>
      </c>
      <c r="L6" s="2" t="s">
        <v>8</v>
      </c>
    </row>
    <row r="7" spans="1:12" x14ac:dyDescent="0.25">
      <c r="A7" s="53"/>
      <c r="B7" s="53"/>
      <c r="C7" s="1" t="s">
        <v>9</v>
      </c>
      <c r="D7" s="2" t="s">
        <v>10</v>
      </c>
      <c r="E7" s="2" t="s">
        <v>44</v>
      </c>
      <c r="F7" s="2" t="s">
        <v>37</v>
      </c>
      <c r="G7" s="2" t="s">
        <v>52</v>
      </c>
      <c r="H7" s="2" t="s">
        <v>17</v>
      </c>
      <c r="I7" s="2" t="s">
        <v>26</v>
      </c>
      <c r="J7" s="2" t="s">
        <v>26</v>
      </c>
      <c r="K7" s="2" t="s">
        <v>45</v>
      </c>
      <c r="L7" s="2" t="s">
        <v>8</v>
      </c>
    </row>
    <row r="8" spans="1:12" x14ac:dyDescent="0.25">
      <c r="A8" s="53"/>
      <c r="B8" s="53" t="s">
        <v>12</v>
      </c>
      <c r="C8" s="1" t="s">
        <v>2</v>
      </c>
      <c r="D8" s="2">
        <v>18</v>
      </c>
      <c r="E8" s="2">
        <v>20</v>
      </c>
      <c r="F8" s="2">
        <v>7</v>
      </c>
      <c r="G8" s="2">
        <v>386</v>
      </c>
      <c r="H8" s="2">
        <v>21</v>
      </c>
      <c r="I8" s="2">
        <v>0</v>
      </c>
      <c r="J8" s="2">
        <v>0</v>
      </c>
      <c r="K8" s="2">
        <v>25</v>
      </c>
      <c r="L8" s="2">
        <v>477</v>
      </c>
    </row>
    <row r="9" spans="1:12" x14ac:dyDescent="0.25">
      <c r="A9" s="53"/>
      <c r="B9" s="53"/>
      <c r="C9" s="1" t="s">
        <v>3</v>
      </c>
      <c r="D9" s="2" t="s">
        <v>144</v>
      </c>
      <c r="E9" s="2" t="s">
        <v>234</v>
      </c>
      <c r="F9" s="2" t="s">
        <v>38</v>
      </c>
      <c r="G9" s="2" t="s">
        <v>313</v>
      </c>
      <c r="H9" s="2" t="s">
        <v>190</v>
      </c>
      <c r="I9" s="2" t="s">
        <v>26</v>
      </c>
      <c r="J9" s="2" t="s">
        <v>26</v>
      </c>
      <c r="K9" s="2" t="s">
        <v>238</v>
      </c>
      <c r="L9" s="2" t="s">
        <v>5</v>
      </c>
    </row>
    <row r="10" spans="1:12" ht="30" x14ac:dyDescent="0.25">
      <c r="A10" s="53"/>
      <c r="B10" s="53"/>
      <c r="C10" s="1" t="s">
        <v>6</v>
      </c>
      <c r="D10" s="2" t="s">
        <v>91</v>
      </c>
      <c r="E10" s="2" t="s">
        <v>29</v>
      </c>
      <c r="F10" s="2" t="s">
        <v>245</v>
      </c>
      <c r="G10" s="2" t="s">
        <v>32</v>
      </c>
      <c r="H10" s="2" t="s">
        <v>244</v>
      </c>
      <c r="I10" s="2" t="s">
        <v>26</v>
      </c>
      <c r="J10" s="2" t="s">
        <v>26</v>
      </c>
      <c r="K10" s="2" t="s">
        <v>314</v>
      </c>
      <c r="L10" s="2" t="s">
        <v>16</v>
      </c>
    </row>
    <row r="11" spans="1:12" x14ac:dyDescent="0.25">
      <c r="A11" s="53"/>
      <c r="B11" s="53"/>
      <c r="C11" s="1" t="s">
        <v>9</v>
      </c>
      <c r="D11" s="2" t="s">
        <v>36</v>
      </c>
      <c r="E11" s="2" t="s">
        <v>22</v>
      </c>
      <c r="F11" s="2" t="s">
        <v>37</v>
      </c>
      <c r="G11" s="2" t="s">
        <v>315</v>
      </c>
      <c r="H11" s="2" t="s">
        <v>316</v>
      </c>
      <c r="I11" s="2" t="s">
        <v>26</v>
      </c>
      <c r="J11" s="2" t="s">
        <v>26</v>
      </c>
      <c r="K11" s="2" t="s">
        <v>184</v>
      </c>
      <c r="L11" s="2" t="s">
        <v>16</v>
      </c>
    </row>
  </sheetData>
  <mergeCells count="3">
    <mergeCell ref="A4:A11"/>
    <mergeCell ref="B4:B7"/>
    <mergeCell ref="B8:B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5F8C-F663-4D6D-A1B3-CC4265FA475D}">
  <dimension ref="A1:E12"/>
  <sheetViews>
    <sheetView workbookViewId="0">
      <selection activeCell="F15" sqref="A1:F15"/>
    </sheetView>
  </sheetViews>
  <sheetFormatPr baseColWidth="10" defaultRowHeight="15" x14ac:dyDescent="0.25"/>
  <sheetData>
    <row r="1" spans="1:5" x14ac:dyDescent="0.25">
      <c r="A1" t="s">
        <v>366</v>
      </c>
    </row>
    <row r="2" spans="1:5" x14ac:dyDescent="0.25">
      <c r="A2" s="1"/>
      <c r="B2" s="1"/>
    </row>
    <row r="3" spans="1:5" ht="75" x14ac:dyDescent="0.25">
      <c r="A3" s="10"/>
      <c r="B3" s="10" t="s">
        <v>317</v>
      </c>
      <c r="C3" s="10" t="s">
        <v>318</v>
      </c>
      <c r="D3" s="10" t="s">
        <v>58</v>
      </c>
      <c r="E3" s="10"/>
    </row>
    <row r="4" spans="1:5" x14ac:dyDescent="0.25">
      <c r="A4" s="10" t="s">
        <v>1</v>
      </c>
      <c r="B4" s="10">
        <v>75</v>
      </c>
      <c r="C4" s="10">
        <v>3</v>
      </c>
      <c r="D4" s="10">
        <v>256</v>
      </c>
      <c r="E4" s="10">
        <v>334</v>
      </c>
    </row>
    <row r="5" spans="1:5" ht="15" customHeight="1" x14ac:dyDescent="0.25">
      <c r="A5" s="10" t="s">
        <v>12</v>
      </c>
      <c r="B5" s="10">
        <v>113</v>
      </c>
      <c r="C5" s="10">
        <v>6</v>
      </c>
      <c r="D5" s="10">
        <v>358</v>
      </c>
      <c r="E5" s="10">
        <v>477</v>
      </c>
    </row>
    <row r="6" spans="1:5" x14ac:dyDescent="0.25">
      <c r="A6" s="17" t="s">
        <v>19</v>
      </c>
      <c r="B6" s="17">
        <f>SUM(B4:B5)</f>
        <v>188</v>
      </c>
      <c r="C6" s="17">
        <f>SUM(C4:C5)</f>
        <v>9</v>
      </c>
      <c r="D6" s="17">
        <f>SUM(D4:D5)</f>
        <v>614</v>
      </c>
      <c r="E6" s="17">
        <f>SUM(E4:E5)</f>
        <v>811</v>
      </c>
    </row>
    <row r="9" spans="1:5" ht="75" x14ac:dyDescent="0.25">
      <c r="A9" s="10"/>
      <c r="B9" s="10" t="s">
        <v>317</v>
      </c>
      <c r="C9" s="10" t="s">
        <v>318</v>
      </c>
      <c r="D9" s="10" t="s">
        <v>58</v>
      </c>
      <c r="E9" s="10"/>
    </row>
    <row r="10" spans="1:5" x14ac:dyDescent="0.25">
      <c r="A10" s="10" t="s">
        <v>1</v>
      </c>
      <c r="B10" s="39">
        <f>B4/E6</f>
        <v>9.2478421701602961E-2</v>
      </c>
      <c r="C10" s="39">
        <f>C4/E6</f>
        <v>3.6991368680641184E-3</v>
      </c>
      <c r="D10" s="39">
        <f>D4/E6</f>
        <v>0.31565967940813811</v>
      </c>
      <c r="E10" s="39">
        <f>SUM(B10:D10)</f>
        <v>0.41183723797780519</v>
      </c>
    </row>
    <row r="11" spans="1:5" ht="30" x14ac:dyDescent="0.25">
      <c r="A11" s="10" t="s">
        <v>12</v>
      </c>
      <c r="B11" s="39">
        <f>B5/E6</f>
        <v>0.13933415536374846</v>
      </c>
      <c r="C11" s="39">
        <f>C5/E6</f>
        <v>7.3982737361282368E-3</v>
      </c>
      <c r="D11" s="39">
        <f>D5/E6</f>
        <v>0.44143033292231815</v>
      </c>
      <c r="E11" s="39">
        <f>SUM(B11:D11)</f>
        <v>0.58816276202219486</v>
      </c>
    </row>
    <row r="12" spans="1:5" x14ac:dyDescent="0.25">
      <c r="A12" s="17" t="s">
        <v>19</v>
      </c>
      <c r="B12" s="40">
        <f>SUM(B10:B11)</f>
        <v>0.23181257706535141</v>
      </c>
      <c r="C12" s="40">
        <f>SUM(C10:C11)</f>
        <v>1.1097410604192354E-2</v>
      </c>
      <c r="D12" s="40">
        <f>SUM(D10:D11)</f>
        <v>0.75709001233045625</v>
      </c>
      <c r="E12" s="40">
        <f>SUM(E10:E11)</f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51A4-87E9-46F0-A9DF-72AB19257228}">
  <dimension ref="A1:J13"/>
  <sheetViews>
    <sheetView workbookViewId="0">
      <selection activeCell="O25" sqref="A1:O25"/>
    </sheetView>
  </sheetViews>
  <sheetFormatPr baseColWidth="10" defaultRowHeight="15" x14ac:dyDescent="0.25"/>
  <sheetData>
    <row r="1" spans="1:10" x14ac:dyDescent="0.25">
      <c r="A1" t="s">
        <v>372</v>
      </c>
    </row>
    <row r="2" spans="1:10" x14ac:dyDescent="0.25">
      <c r="A2" s="1"/>
      <c r="B2" s="1"/>
    </row>
    <row r="3" spans="1:10" ht="60" x14ac:dyDescent="0.25">
      <c r="A3" s="10"/>
      <c r="B3" s="10" t="s">
        <v>367</v>
      </c>
      <c r="C3" s="10" t="s">
        <v>368</v>
      </c>
      <c r="D3" s="10" t="s">
        <v>369</v>
      </c>
      <c r="E3" s="10" t="s">
        <v>370</v>
      </c>
      <c r="F3" s="10" t="s">
        <v>371</v>
      </c>
      <c r="G3" s="45" t="s">
        <v>19</v>
      </c>
      <c r="H3" s="10" t="s">
        <v>319</v>
      </c>
      <c r="I3" s="10"/>
      <c r="J3" s="19"/>
    </row>
    <row r="4" spans="1:10" x14ac:dyDescent="0.25">
      <c r="A4" s="10" t="s">
        <v>1</v>
      </c>
      <c r="B4" s="10">
        <v>15</v>
      </c>
      <c r="C4" s="10">
        <v>28</v>
      </c>
      <c r="D4" s="10">
        <v>15</v>
      </c>
      <c r="E4" s="10">
        <v>1</v>
      </c>
      <c r="F4" s="10">
        <v>16</v>
      </c>
      <c r="G4" s="45">
        <f>SUM(B4:F4)</f>
        <v>75</v>
      </c>
      <c r="H4" s="10">
        <v>259</v>
      </c>
      <c r="I4" s="10">
        <v>334</v>
      </c>
      <c r="J4" s="19"/>
    </row>
    <row r="5" spans="1:10" ht="15" customHeight="1" x14ac:dyDescent="0.25">
      <c r="A5" s="10" t="s">
        <v>12</v>
      </c>
      <c r="B5" s="10">
        <v>29</v>
      </c>
      <c r="C5" s="10">
        <v>39</v>
      </c>
      <c r="D5" s="10">
        <v>17</v>
      </c>
      <c r="E5" s="10">
        <v>3</v>
      </c>
      <c r="F5" s="10">
        <v>21</v>
      </c>
      <c r="G5" s="45">
        <f>SUM(B5:F5)</f>
        <v>109</v>
      </c>
      <c r="H5" s="10">
        <v>368</v>
      </c>
      <c r="I5" s="10">
        <v>477</v>
      </c>
      <c r="J5" s="19"/>
    </row>
    <row r="6" spans="1:10" x14ac:dyDescent="0.25">
      <c r="A6" s="17"/>
      <c r="B6" s="17">
        <f t="shared" ref="B6:I6" si="0">SUM(B4:B5)</f>
        <v>44</v>
      </c>
      <c r="C6" s="17">
        <f t="shared" si="0"/>
        <v>67</v>
      </c>
      <c r="D6" s="17">
        <f t="shared" si="0"/>
        <v>32</v>
      </c>
      <c r="E6" s="17">
        <f t="shared" si="0"/>
        <v>4</v>
      </c>
      <c r="F6" s="17">
        <f t="shared" si="0"/>
        <v>37</v>
      </c>
      <c r="G6" s="46">
        <f t="shared" si="0"/>
        <v>184</v>
      </c>
      <c r="H6" s="17">
        <f t="shared" si="0"/>
        <v>627</v>
      </c>
      <c r="I6" s="17">
        <f t="shared" si="0"/>
        <v>811</v>
      </c>
    </row>
    <row r="7" spans="1:10" x14ac:dyDescent="0.25">
      <c r="G7" s="47"/>
    </row>
    <row r="8" spans="1:10" x14ac:dyDescent="0.25">
      <c r="G8" s="47"/>
    </row>
    <row r="9" spans="1:10" ht="60" x14ac:dyDescent="0.25">
      <c r="A9" s="10"/>
      <c r="B9" s="10" t="s">
        <v>367</v>
      </c>
      <c r="C9" s="10" t="s">
        <v>368</v>
      </c>
      <c r="D9" s="10" t="s">
        <v>369</v>
      </c>
      <c r="E9" s="10" t="s">
        <v>370</v>
      </c>
      <c r="F9" s="10" t="s">
        <v>371</v>
      </c>
      <c r="G9" s="45" t="s">
        <v>19</v>
      </c>
      <c r="H9" s="10" t="s">
        <v>319</v>
      </c>
      <c r="I9" s="10"/>
    </row>
    <row r="10" spans="1:10" x14ac:dyDescent="0.25">
      <c r="A10" s="10" t="s">
        <v>1</v>
      </c>
      <c r="B10" s="39">
        <f>B4/I6</f>
        <v>1.8495684340320593E-2</v>
      </c>
      <c r="C10" s="39">
        <f>C4/I6</f>
        <v>3.4525277435265102E-2</v>
      </c>
      <c r="D10" s="39">
        <f>D4/I6</f>
        <v>1.8495684340320593E-2</v>
      </c>
      <c r="E10" s="39">
        <f>E4/I6</f>
        <v>1.2330456226880395E-3</v>
      </c>
      <c r="F10" s="39">
        <f>F4/I6</f>
        <v>1.9728729963008632E-2</v>
      </c>
      <c r="G10" s="48">
        <f>SUM(B10:F10)</f>
        <v>9.2478421701602961E-2</v>
      </c>
      <c r="H10" s="39">
        <f>H4/I6</f>
        <v>0.31935881627620222</v>
      </c>
      <c r="I10" s="39">
        <f>SUM(B10:H10)</f>
        <v>0.50431565967940817</v>
      </c>
    </row>
    <row r="11" spans="1:10" ht="30" x14ac:dyDescent="0.25">
      <c r="A11" s="10" t="s">
        <v>12</v>
      </c>
      <c r="B11" s="39">
        <f>B5/I6</f>
        <v>3.5758323057953144E-2</v>
      </c>
      <c r="C11" s="39">
        <f>C5/I6</f>
        <v>4.8088779284833537E-2</v>
      </c>
      <c r="D11" s="39">
        <f>D5/I6</f>
        <v>2.096177558569667E-2</v>
      </c>
      <c r="E11" s="39">
        <f>E5/I6</f>
        <v>3.6991368680641184E-3</v>
      </c>
      <c r="F11" s="39">
        <f>F5/I6</f>
        <v>2.5893958076448828E-2</v>
      </c>
      <c r="G11" s="48">
        <f>SUM(B11:F11)</f>
        <v>0.13440197287299629</v>
      </c>
      <c r="H11" s="39">
        <f>H5/I6</f>
        <v>0.45376078914919854</v>
      </c>
      <c r="I11" s="39">
        <f>SUM(B11:H11)</f>
        <v>0.72256473489519113</v>
      </c>
    </row>
    <row r="12" spans="1:10" x14ac:dyDescent="0.25">
      <c r="A12" s="17"/>
      <c r="B12" s="40">
        <f t="shared" ref="B12:I12" si="1">SUM(B10:B11)</f>
        <v>5.425400739827374E-2</v>
      </c>
      <c r="C12" s="40">
        <f t="shared" si="1"/>
        <v>8.2614056720098639E-2</v>
      </c>
      <c r="D12" s="40">
        <f t="shared" si="1"/>
        <v>3.9457459926017263E-2</v>
      </c>
      <c r="E12" s="40">
        <f t="shared" si="1"/>
        <v>4.9321824907521579E-3</v>
      </c>
      <c r="F12" s="40">
        <f t="shared" si="1"/>
        <v>4.562268803945746E-2</v>
      </c>
      <c r="G12" s="49">
        <f t="shared" si="1"/>
        <v>0.22688039457459924</v>
      </c>
      <c r="H12" s="40">
        <f t="shared" si="1"/>
        <v>0.77311960542540081</v>
      </c>
      <c r="I12" s="40">
        <f t="shared" si="1"/>
        <v>1.2268803945745992</v>
      </c>
    </row>
    <row r="13" spans="1:10" x14ac:dyDescent="0.25">
      <c r="G13" s="47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3595-9658-4501-9092-A3A563CE5341}">
  <dimension ref="A1:J11"/>
  <sheetViews>
    <sheetView tabSelected="1" topLeftCell="A10" workbookViewId="0">
      <selection sqref="A1:K11"/>
    </sheetView>
  </sheetViews>
  <sheetFormatPr baseColWidth="10" defaultRowHeight="15" x14ac:dyDescent="0.25"/>
  <sheetData>
    <row r="1" spans="1:10" x14ac:dyDescent="0.25">
      <c r="A1" s="3" t="s">
        <v>320</v>
      </c>
    </row>
    <row r="2" spans="1:10" x14ac:dyDescent="0.25">
      <c r="A2" s="1"/>
      <c r="B2" s="1"/>
      <c r="C2" s="1"/>
      <c r="D2" s="1" t="s">
        <v>19</v>
      </c>
    </row>
    <row r="3" spans="1:10" ht="405" x14ac:dyDescent="0.25">
      <c r="A3" s="1"/>
      <c r="B3" s="1"/>
      <c r="C3" s="1"/>
      <c r="D3" s="1" t="s">
        <v>321</v>
      </c>
      <c r="E3" s="1" t="s">
        <v>322</v>
      </c>
      <c r="F3" s="1" t="s">
        <v>323</v>
      </c>
      <c r="G3" s="1" t="s">
        <v>324</v>
      </c>
      <c r="H3" s="1" t="s">
        <v>325</v>
      </c>
      <c r="I3" s="1" t="s">
        <v>319</v>
      </c>
      <c r="J3" s="2"/>
    </row>
    <row r="4" spans="1:10" x14ac:dyDescent="0.25">
      <c r="A4" s="53" t="s">
        <v>0</v>
      </c>
      <c r="B4" s="53" t="s">
        <v>1</v>
      </c>
      <c r="C4" s="1" t="s">
        <v>2</v>
      </c>
      <c r="D4" s="2">
        <v>19</v>
      </c>
      <c r="E4" s="2">
        <v>25</v>
      </c>
      <c r="F4" s="2">
        <v>0</v>
      </c>
      <c r="G4" s="2">
        <v>12</v>
      </c>
      <c r="H4" s="2">
        <v>11</v>
      </c>
      <c r="I4" s="2">
        <v>267</v>
      </c>
      <c r="J4" s="2">
        <v>334</v>
      </c>
    </row>
    <row r="5" spans="1:10" x14ac:dyDescent="0.25">
      <c r="A5" s="53"/>
      <c r="B5" s="53"/>
      <c r="C5" s="1" t="s">
        <v>3</v>
      </c>
      <c r="D5" s="2" t="s">
        <v>60</v>
      </c>
      <c r="E5" s="2" t="s">
        <v>179</v>
      </c>
      <c r="F5" s="2" t="s">
        <v>26</v>
      </c>
      <c r="G5" s="2" t="s">
        <v>42</v>
      </c>
      <c r="H5" s="2" t="s">
        <v>33</v>
      </c>
      <c r="I5" s="2" t="s">
        <v>59</v>
      </c>
      <c r="J5" s="2" t="s">
        <v>5</v>
      </c>
    </row>
    <row r="6" spans="1:10" ht="30" x14ac:dyDescent="0.25">
      <c r="A6" s="53"/>
      <c r="B6" s="53"/>
      <c r="C6" s="1" t="s">
        <v>6</v>
      </c>
      <c r="D6" s="2" t="s">
        <v>247</v>
      </c>
      <c r="E6" s="2" t="s">
        <v>182</v>
      </c>
      <c r="F6" s="2" t="s">
        <v>26</v>
      </c>
      <c r="G6" s="2" t="s">
        <v>285</v>
      </c>
      <c r="H6" s="2" t="s">
        <v>326</v>
      </c>
      <c r="I6" s="2" t="s">
        <v>180</v>
      </c>
      <c r="J6" s="2" t="s">
        <v>8</v>
      </c>
    </row>
    <row r="7" spans="1:10" x14ac:dyDescent="0.25">
      <c r="A7" s="53"/>
      <c r="B7" s="53"/>
      <c r="C7" s="1" t="s">
        <v>9</v>
      </c>
      <c r="D7" s="2" t="s">
        <v>47</v>
      </c>
      <c r="E7" s="2" t="s">
        <v>184</v>
      </c>
      <c r="F7" s="2" t="s">
        <v>26</v>
      </c>
      <c r="G7" s="2" t="s">
        <v>25</v>
      </c>
      <c r="H7" s="2" t="s">
        <v>54</v>
      </c>
      <c r="I7" s="2" t="s">
        <v>171</v>
      </c>
      <c r="J7" s="2" t="s">
        <v>8</v>
      </c>
    </row>
    <row r="8" spans="1:10" x14ac:dyDescent="0.25">
      <c r="A8" s="53"/>
      <c r="B8" s="53" t="s">
        <v>12</v>
      </c>
      <c r="C8" s="1" t="s">
        <v>2</v>
      </c>
      <c r="D8" s="2">
        <v>38</v>
      </c>
      <c r="E8" s="2">
        <v>38</v>
      </c>
      <c r="F8" s="2">
        <v>2</v>
      </c>
      <c r="G8" s="2">
        <v>19</v>
      </c>
      <c r="H8" s="2">
        <v>6</v>
      </c>
      <c r="I8" s="2">
        <v>374</v>
      </c>
      <c r="J8" s="2">
        <v>477</v>
      </c>
    </row>
    <row r="9" spans="1:10" x14ac:dyDescent="0.25">
      <c r="A9" s="53"/>
      <c r="B9" s="53"/>
      <c r="C9" s="1" t="s">
        <v>3</v>
      </c>
      <c r="D9" s="2" t="s">
        <v>161</v>
      </c>
      <c r="E9" s="2" t="s">
        <v>161</v>
      </c>
      <c r="F9" s="2" t="s">
        <v>39</v>
      </c>
      <c r="G9" s="2" t="s">
        <v>240</v>
      </c>
      <c r="H9" s="2" t="s">
        <v>85</v>
      </c>
      <c r="I9" s="2" t="s">
        <v>327</v>
      </c>
      <c r="J9" s="2" t="s">
        <v>5</v>
      </c>
    </row>
    <row r="10" spans="1:10" ht="30" x14ac:dyDescent="0.25">
      <c r="A10" s="53"/>
      <c r="B10" s="53"/>
      <c r="C10" s="1" t="s">
        <v>6</v>
      </c>
      <c r="D10" s="2" t="s">
        <v>328</v>
      </c>
      <c r="E10" s="2" t="s">
        <v>329</v>
      </c>
      <c r="F10" s="2" t="s">
        <v>5</v>
      </c>
      <c r="G10" s="2" t="s">
        <v>32</v>
      </c>
      <c r="H10" s="2" t="s">
        <v>236</v>
      </c>
      <c r="I10" s="2" t="s">
        <v>92</v>
      </c>
      <c r="J10" s="2" t="s">
        <v>16</v>
      </c>
    </row>
    <row r="11" spans="1:10" x14ac:dyDescent="0.25">
      <c r="A11" s="53"/>
      <c r="B11" s="53"/>
      <c r="C11" s="1" t="s">
        <v>9</v>
      </c>
      <c r="D11" s="2" t="s">
        <v>138</v>
      </c>
      <c r="E11" s="2" t="s">
        <v>138</v>
      </c>
      <c r="F11" s="2" t="s">
        <v>45</v>
      </c>
      <c r="G11" s="2" t="s">
        <v>47</v>
      </c>
      <c r="H11" s="2" t="s">
        <v>61</v>
      </c>
      <c r="I11" s="2" t="s">
        <v>282</v>
      </c>
      <c r="J11" s="2" t="s">
        <v>16</v>
      </c>
    </row>
  </sheetData>
  <mergeCells count="3">
    <mergeCell ref="A4:A11"/>
    <mergeCell ref="B4:B7"/>
    <mergeCell ref="B8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Muestra</vt:lpstr>
      <vt:lpstr>Tono</vt:lpstr>
      <vt:lpstr>Fuente</vt:lpstr>
      <vt:lpstr>Contrastación</vt:lpstr>
      <vt:lpstr>Opiniones </vt:lpstr>
      <vt:lpstr>Calumnias</vt:lpstr>
      <vt:lpstr>Veracidad</vt:lpstr>
      <vt:lpstr>Exactitud</vt:lpstr>
      <vt:lpstr>Actualidad</vt:lpstr>
      <vt:lpstr>Oportuna</vt:lpstr>
      <vt:lpstr>Alcance</vt:lpstr>
      <vt:lpstr>Evidencias</vt:lpstr>
      <vt:lpstr>Pruebas </vt:lpstr>
      <vt:lpstr>Transparencia</vt:lpstr>
      <vt:lpstr>Causalidad</vt:lpstr>
      <vt:lpstr>Contexto</vt:lpstr>
      <vt:lpstr>Neutralidad</vt:lpstr>
      <vt:lpstr>Idoneidad</vt:lpstr>
      <vt:lpstr>Protagonista</vt:lpstr>
      <vt:lpstr>Antagonista</vt:lpstr>
      <vt:lpstr>Enfasis narrativo</vt:lpstr>
      <vt:lpstr>Calificativos</vt:lpstr>
      <vt:lpstr>Enfasis visual</vt:lpstr>
      <vt:lpstr>Construccion otro</vt:lpstr>
      <vt:lpstr>Invisibilización otro</vt:lpstr>
      <vt:lpstr>Enemigo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Alexandra Luna Baez</dc:creator>
  <cp:lastModifiedBy>Verónica Alexandra Luna Baez</cp:lastModifiedBy>
  <dcterms:created xsi:type="dcterms:W3CDTF">2025-11-10T12:20:26Z</dcterms:created>
  <dcterms:modified xsi:type="dcterms:W3CDTF">2025-12-05T15:29:48Z</dcterms:modified>
</cp:coreProperties>
</file>